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yalam\Documents\coding practice\"/>
    </mc:Choice>
  </mc:AlternateContent>
  <bookViews>
    <workbookView xWindow="0" yWindow="0" windowWidth="19200" windowHeight="7050" tabRatio="401"/>
  </bookViews>
  <sheets>
    <sheet name="Sheet1" sheetId="9" r:id="rId1"/>
    <sheet name="April-2019 (2)" sheetId="10" r:id="rId2"/>
    <sheet name="April-2018 (2)" sheetId="6" r:id="rId3"/>
    <sheet name="2018-final" sheetId="11" r:id="rId4"/>
    <sheet name="April-2019" sheetId="1" r:id="rId5"/>
    <sheet name="April-2018" sheetId="2" r:id="rId6"/>
    <sheet name="Balance sheet " sheetId="4" r:id="rId7"/>
    <sheet name="Income statement" sheetId="5" r:id="rId8"/>
    <sheet name="To do sheet" sheetId="3" r:id="rId9"/>
  </sheets>
  <definedNames>
    <definedName name="_xlnm.Print_Titles" localSheetId="4">'April-2019'!$3:$6</definedName>
    <definedName name="_xlnm.Print_Titles" localSheetId="1">'April-2019 (2)'!$3:$6</definedName>
  </definedNames>
  <calcPr calcId="162913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1" l="1"/>
  <c r="J5" i="11"/>
  <c r="J4" i="11"/>
  <c r="J39" i="11"/>
  <c r="J3" i="11"/>
  <c r="J35" i="11"/>
  <c r="J8" i="11"/>
  <c r="J37" i="11"/>
  <c r="J25" i="11"/>
  <c r="J21" i="11"/>
  <c r="J16" i="11"/>
  <c r="J12" i="11"/>
  <c r="J18" i="11"/>
  <c r="J19" i="11"/>
  <c r="J49" i="11"/>
  <c r="J13" i="11"/>
  <c r="J14" i="11"/>
  <c r="J10" i="11"/>
  <c r="J7" i="11"/>
  <c r="J15" i="11"/>
  <c r="J22" i="11"/>
  <c r="J11" i="11"/>
  <c r="J23" i="11"/>
  <c r="J40" i="11"/>
  <c r="J48" i="11"/>
  <c r="J9" i="11"/>
  <c r="J24" i="11"/>
  <c r="J20" i="11"/>
  <c r="J26" i="11"/>
  <c r="J44" i="11"/>
  <c r="J27" i="11"/>
  <c r="J33" i="11"/>
  <c r="J34" i="11"/>
  <c r="J38" i="11"/>
  <c r="J46" i="11"/>
  <c r="J36" i="11"/>
  <c r="J31" i="11"/>
  <c r="J29" i="11"/>
  <c r="J42" i="11"/>
  <c r="J28" i="11"/>
  <c r="J45" i="11"/>
  <c r="J32" i="11"/>
  <c r="J17" i="11"/>
  <c r="J47" i="11"/>
  <c r="J41" i="11"/>
  <c r="J30" i="11"/>
  <c r="J43" i="11"/>
  <c r="D15" i="11"/>
  <c r="D16" i="11"/>
  <c r="D6" i="11"/>
  <c r="D4" i="11"/>
  <c r="D3" i="11"/>
  <c r="D14" i="11"/>
  <c r="D19" i="11"/>
  <c r="D11" i="11"/>
  <c r="D17" i="11"/>
  <c r="D20" i="11"/>
  <c r="D5" i="11"/>
  <c r="D10" i="11"/>
  <c r="D9" i="11"/>
  <c r="D25" i="11"/>
  <c r="D33" i="11"/>
  <c r="D13" i="11"/>
  <c r="D12" i="11"/>
  <c r="D8" i="11"/>
  <c r="D7" i="11"/>
  <c r="D21" i="11"/>
  <c r="D34" i="11"/>
  <c r="D32" i="11"/>
  <c r="D27" i="11"/>
  <c r="D26" i="11"/>
  <c r="D23" i="11"/>
  <c r="D29" i="11"/>
  <c r="D31" i="11"/>
  <c r="D30" i="11"/>
  <c r="D24" i="11"/>
  <c r="D28" i="11"/>
  <c r="D18" i="11"/>
  <c r="D22" i="11"/>
  <c r="BE2" i="6"/>
  <c r="Q6" i="6"/>
  <c r="T15" i="6" l="1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7" i="6"/>
  <c r="T8" i="6"/>
  <c r="T9" i="6"/>
  <c r="T10" i="6"/>
  <c r="T11" i="6"/>
  <c r="T12" i="6"/>
  <c r="T13" i="6"/>
  <c r="T14" i="6"/>
  <c r="T6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22" i="6"/>
  <c r="S23" i="6"/>
  <c r="S24" i="6"/>
  <c r="S25" i="6"/>
  <c r="S26" i="6"/>
  <c r="S12" i="6"/>
  <c r="S13" i="6"/>
  <c r="S14" i="6"/>
  <c r="S15" i="6"/>
  <c r="S16" i="6"/>
  <c r="S17" i="6"/>
  <c r="S18" i="6"/>
  <c r="S19" i="6"/>
  <c r="S20" i="6"/>
  <c r="S21" i="6"/>
  <c r="S11" i="6"/>
  <c r="S9" i="6"/>
  <c r="S10" i="6"/>
  <c r="S8" i="6"/>
  <c r="S7" i="6"/>
  <c r="R7" i="6" l="1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6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7" i="6"/>
  <c r="P6" i="6"/>
  <c r="O6" i="6"/>
  <c r="BG3" i="6"/>
  <c r="BG4" i="6"/>
  <c r="BG5" i="6"/>
  <c r="BG6" i="6"/>
  <c r="BG7" i="6"/>
  <c r="BG8" i="6"/>
  <c r="BG9" i="6"/>
  <c r="BG10" i="6"/>
  <c r="BG11" i="6"/>
  <c r="BG12" i="6"/>
  <c r="BG13" i="6"/>
  <c r="BG14" i="6"/>
  <c r="BG15" i="6"/>
  <c r="BG16" i="6"/>
  <c r="BG17" i="6"/>
  <c r="BG18" i="6"/>
  <c r="BG19" i="6"/>
  <c r="BG20" i="6"/>
  <c r="BG21" i="6"/>
  <c r="BG22" i="6"/>
  <c r="BG23" i="6"/>
  <c r="BG24" i="6"/>
  <c r="BG25" i="6"/>
  <c r="BG26" i="6"/>
  <c r="BG27" i="6"/>
  <c r="BG28" i="6"/>
  <c r="BG29" i="6"/>
  <c r="BG30" i="6"/>
  <c r="BG31" i="6"/>
  <c r="BG32" i="6"/>
  <c r="BG33" i="6"/>
  <c r="BG34" i="6"/>
  <c r="BG35" i="6"/>
  <c r="BG36" i="6"/>
  <c r="BG37" i="6"/>
  <c r="BG38" i="6"/>
  <c r="BG39" i="6"/>
  <c r="BG40" i="6"/>
  <c r="BG41" i="6"/>
  <c r="BG42" i="6"/>
  <c r="BG43" i="6"/>
  <c r="BG44" i="6"/>
  <c r="BG45" i="6"/>
  <c r="BG46" i="6"/>
  <c r="BG47" i="6"/>
  <c r="BG48" i="6"/>
  <c r="BG49" i="6"/>
  <c r="BG50" i="6"/>
  <c r="BG2" i="6"/>
  <c r="BF3" i="6"/>
  <c r="BF4" i="6"/>
  <c r="BF5" i="6"/>
  <c r="BF6" i="6"/>
  <c r="BF7" i="6"/>
  <c r="BF8" i="6"/>
  <c r="BF9" i="6"/>
  <c r="BF10" i="6"/>
  <c r="BF11" i="6"/>
  <c r="BF12" i="6"/>
  <c r="BF13" i="6"/>
  <c r="BF14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BF34" i="6"/>
  <c r="BF35" i="6"/>
  <c r="BF36" i="6"/>
  <c r="BF37" i="6"/>
  <c r="BF38" i="6"/>
  <c r="BF39" i="6"/>
  <c r="BF40" i="6"/>
  <c r="BF41" i="6"/>
  <c r="BF42" i="6"/>
  <c r="BF43" i="6"/>
  <c r="BF44" i="6"/>
  <c r="BF45" i="6"/>
  <c r="BF46" i="6"/>
  <c r="BF47" i="6"/>
  <c r="BF48" i="6"/>
  <c r="BF49" i="6"/>
  <c r="BF50" i="6"/>
  <c r="BF2" i="6"/>
  <c r="BD3" i="6"/>
  <c r="BD4" i="6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2" i="6"/>
  <c r="BB3" i="6"/>
  <c r="BB4" i="6"/>
  <c r="BB5" i="6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2" i="6"/>
  <c r="AY24" i="6"/>
  <c r="AY25" i="6"/>
  <c r="AY26" i="6"/>
  <c r="AY27" i="6"/>
  <c r="AY28" i="6"/>
  <c r="AY29" i="6"/>
  <c r="AY30" i="6"/>
  <c r="AY31" i="6"/>
  <c r="AY32" i="6"/>
  <c r="AY33" i="6"/>
  <c r="AY34" i="6"/>
  <c r="AY35" i="6"/>
  <c r="AY36" i="6"/>
  <c r="AY37" i="6"/>
  <c r="AY38" i="6"/>
  <c r="AY39" i="6"/>
  <c r="AY40" i="6"/>
  <c r="AY41" i="6"/>
  <c r="AY42" i="6"/>
  <c r="AY43" i="6"/>
  <c r="AY44" i="6"/>
  <c r="AY45" i="6"/>
  <c r="AY46" i="6"/>
  <c r="AY47" i="6"/>
  <c r="AY48" i="6"/>
  <c r="AY49" i="6"/>
  <c r="AY50" i="6"/>
  <c r="AY20" i="6"/>
  <c r="AY21" i="6"/>
  <c r="AY22" i="6"/>
  <c r="AY23" i="6"/>
  <c r="AY17" i="6"/>
  <c r="AY18" i="6"/>
  <c r="AY19" i="6"/>
  <c r="AY16" i="6"/>
  <c r="AY13" i="6"/>
  <c r="AY14" i="6"/>
  <c r="AY15" i="6"/>
  <c r="AY12" i="6"/>
  <c r="AY10" i="6"/>
  <c r="AY11" i="6"/>
  <c r="AY9" i="6"/>
  <c r="AY8" i="6"/>
  <c r="AY6" i="6"/>
  <c r="AY7" i="6"/>
  <c r="AY5" i="6"/>
  <c r="AY4" i="6"/>
  <c r="AY3" i="6"/>
  <c r="BM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3" i="6"/>
  <c r="AV4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3" i="6"/>
  <c r="BM6" i="6"/>
  <c r="BM7" i="6"/>
  <c r="BM8" i="6"/>
  <c r="BM9" i="6"/>
  <c r="BM14" i="6"/>
  <c r="BM15" i="6"/>
  <c r="BM16" i="6"/>
  <c r="BM23" i="6"/>
  <c r="BM30" i="6"/>
  <c r="BM31" i="6"/>
  <c r="BM32" i="6"/>
  <c r="BM38" i="6"/>
  <c r="BM40" i="6"/>
  <c r="BM41" i="6"/>
  <c r="BM47" i="6"/>
  <c r="BM48" i="6"/>
  <c r="BM49" i="6"/>
  <c r="BM43" i="6"/>
  <c r="BM36" i="6"/>
  <c r="BM27" i="6"/>
  <c r="BM22" i="6"/>
  <c r="BM21" i="6"/>
  <c r="BM19" i="6"/>
  <c r="BM13" i="6"/>
  <c r="BM12" i="6"/>
  <c r="BM4" i="6"/>
  <c r="BM39" i="6"/>
  <c r="BM11" i="6"/>
  <c r="BM10" i="6"/>
  <c r="BM2" i="6"/>
  <c r="BM5" i="6"/>
  <c r="BM17" i="6"/>
  <c r="BM18" i="6"/>
  <c r="BM20" i="6"/>
  <c r="BM24" i="6"/>
  <c r="BM25" i="6"/>
  <c r="BM26" i="6"/>
  <c r="BM28" i="6"/>
  <c r="BM29" i="6"/>
  <c r="BM33" i="6"/>
  <c r="BM34" i="6"/>
  <c r="BM35" i="6"/>
  <c r="BM37" i="6"/>
  <c r="BM42" i="6"/>
  <c r="BM44" i="6"/>
  <c r="BM45" i="6"/>
  <c r="BM46" i="6"/>
  <c r="BM50" i="6"/>
  <c r="BE3" i="6"/>
  <c r="BE4" i="6"/>
  <c r="BE5" i="6"/>
  <c r="BE6" i="6"/>
  <c r="BE7" i="6"/>
  <c r="BE8" i="6"/>
  <c r="BE9" i="6"/>
  <c r="BE10" i="6"/>
  <c r="BE11" i="6"/>
  <c r="BE12" i="6"/>
  <c r="BE13" i="6"/>
  <c r="BE14" i="6"/>
  <c r="BE15" i="6"/>
  <c r="BE16" i="6"/>
  <c r="BE17" i="6"/>
  <c r="BE18" i="6"/>
  <c r="BE19" i="6"/>
  <c r="BE20" i="6"/>
  <c r="BE21" i="6"/>
  <c r="BE22" i="6"/>
  <c r="BE23" i="6"/>
  <c r="BE24" i="6"/>
  <c r="BE25" i="6"/>
  <c r="BE26" i="6"/>
  <c r="BE27" i="6"/>
  <c r="BE28" i="6"/>
  <c r="BE29" i="6"/>
  <c r="BE30" i="6"/>
  <c r="BE31" i="6"/>
  <c r="BE32" i="6"/>
  <c r="BE33" i="6"/>
  <c r="BE34" i="6"/>
  <c r="BE35" i="6"/>
  <c r="BE36" i="6"/>
  <c r="BE37" i="6"/>
  <c r="BE38" i="6"/>
  <c r="BE39" i="6"/>
  <c r="BE40" i="6"/>
  <c r="BE41" i="6"/>
  <c r="BE42" i="6"/>
  <c r="BE43" i="6"/>
  <c r="BE44" i="6"/>
  <c r="BE45" i="6"/>
  <c r="BE46" i="6"/>
  <c r="BE47" i="6"/>
  <c r="BE48" i="6"/>
  <c r="BE49" i="6"/>
  <c r="BE50" i="6"/>
  <c r="BL44" i="6"/>
  <c r="BL37" i="6"/>
  <c r="BL36" i="6"/>
  <c r="BL29" i="6"/>
  <c r="BL28" i="6"/>
  <c r="BL21" i="6"/>
  <c r="BL20" i="6"/>
  <c r="BL12" i="6"/>
  <c r="BL5" i="6"/>
  <c r="BL48" i="6"/>
  <c r="BL47" i="6"/>
  <c r="BL46" i="6"/>
  <c r="BL45" i="6"/>
  <c r="BL42" i="6"/>
  <c r="BL41" i="6"/>
  <c r="BL34" i="6"/>
  <c r="BL31" i="6"/>
  <c r="BL26" i="6"/>
  <c r="BL25" i="6"/>
  <c r="BL22" i="6"/>
  <c r="BL17" i="6"/>
  <c r="BL14" i="6"/>
  <c r="BL11" i="6"/>
  <c r="BL8" i="6"/>
  <c r="BL7" i="6"/>
  <c r="BL4" i="6"/>
  <c r="BL9" i="6"/>
  <c r="BL15" i="6"/>
  <c r="BL16" i="6"/>
  <c r="BL32" i="6"/>
  <c r="BL33" i="6"/>
  <c r="BL40" i="6"/>
  <c r="BL49" i="6"/>
  <c r="BL43" i="6"/>
  <c r="BL27" i="6"/>
  <c r="BL19" i="6"/>
  <c r="BL3" i="6"/>
  <c r="BL50" i="6"/>
  <c r="BL2" i="6"/>
  <c r="BL18" i="6"/>
  <c r="BL23" i="6"/>
  <c r="BL24" i="6"/>
  <c r="BL35" i="6"/>
  <c r="BL6" i="6"/>
  <c r="BL10" i="6"/>
  <c r="BL13" i="6"/>
  <c r="BL30" i="6"/>
  <c r="BL38" i="6"/>
  <c r="BL39" i="6"/>
  <c r="AW4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3" i="6"/>
  <c r="BK49" i="6"/>
  <c r="BK45" i="6"/>
  <c r="BK42" i="6"/>
  <c r="BK41" i="6"/>
  <c r="BK37" i="6"/>
  <c r="BK34" i="6"/>
  <c r="BK33" i="6"/>
  <c r="BK29" i="6"/>
  <c r="BK26" i="6"/>
  <c r="BK25" i="6"/>
  <c r="BK21" i="6"/>
  <c r="BK18" i="6"/>
  <c r="BK17" i="6"/>
  <c r="BK13" i="6"/>
  <c r="BK10" i="6"/>
  <c r="BK9" i="6"/>
  <c r="BK5" i="6"/>
  <c r="BK6" i="6"/>
  <c r="BK7" i="6"/>
  <c r="BK8" i="6"/>
  <c r="BK11" i="6"/>
  <c r="BK12" i="6"/>
  <c r="BK14" i="6"/>
  <c r="BK15" i="6"/>
  <c r="BK16" i="6"/>
  <c r="BK19" i="6"/>
  <c r="BK20" i="6"/>
  <c r="BK22" i="6"/>
  <c r="BK23" i="6"/>
  <c r="BK24" i="6"/>
  <c r="BK27" i="6"/>
  <c r="BK28" i="6"/>
  <c r="BK30" i="6"/>
  <c r="BK31" i="6"/>
  <c r="BK32" i="6"/>
  <c r="BK35" i="6"/>
  <c r="BK36" i="6"/>
  <c r="BK38" i="6"/>
  <c r="BK39" i="6"/>
  <c r="BK40" i="6"/>
  <c r="BK43" i="6"/>
  <c r="BK44" i="6"/>
  <c r="BK46" i="6"/>
  <c r="BK47" i="6"/>
  <c r="BK48" i="6"/>
  <c r="BK50" i="6"/>
  <c r="BK4" i="6"/>
  <c r="BK3" i="6"/>
  <c r="Q71" i="10" l="1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AK14" i="10"/>
  <c r="AI14" i="10"/>
  <c r="AF14" i="10"/>
  <c r="AD14" i="10"/>
  <c r="Z14" i="10"/>
  <c r="AK9" i="10"/>
  <c r="AI9" i="10"/>
  <c r="AF9" i="10"/>
  <c r="AD9" i="10"/>
  <c r="Z9" i="10"/>
  <c r="AK14" i="1" l="1"/>
  <c r="AI14" i="1"/>
  <c r="AF14" i="1"/>
  <c r="AD14" i="1"/>
  <c r="Z14" i="1"/>
  <c r="AK9" i="1"/>
  <c r="AI9" i="1"/>
  <c r="AF9" i="1"/>
  <c r="AD9" i="1"/>
  <c r="Z9" i="1"/>
  <c r="P72" i="6" l="1"/>
  <c r="O72" i="6"/>
  <c r="N72" i="6"/>
  <c r="F72" i="6"/>
  <c r="E72" i="6"/>
  <c r="P72" i="2" l="1"/>
  <c r="O72" i="2"/>
  <c r="N72" i="2"/>
  <c r="F72" i="2"/>
  <c r="E72" i="2"/>
  <c r="Q71" i="1" l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</calcChain>
</file>

<file path=xl/sharedStrings.xml><?xml version="1.0" encoding="utf-8"?>
<sst xmlns="http://schemas.openxmlformats.org/spreadsheetml/2006/main" count="949" uniqueCount="244">
  <si>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</si>
  <si>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</si>
  <si>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</si>
  <si>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</si>
  <si>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</si>
  <si>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</si>
  <si>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</si>
  <si>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</si>
  <si>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</si>
  <si>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</si>
  <si>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</si>
  <si>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 (Actuals)</t>
  </si>
  <si>
    <t>Amount of transactions
(Rs. Millions)</t>
  </si>
  <si>
    <t>No. of Transactions
(Actuals)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</si>
  <si>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</si>
  <si>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</si>
  <si>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</si>
  <si>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</si>
  <si>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</si>
  <si>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</si>
  <si>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</si>
  <si>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</si>
  <si>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</si>
  <si>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</si>
  <si>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</si>
  <si>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</si>
  <si>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</si>
  <si>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</si>
  <si>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</si>
  <si>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</si>
  <si>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</si>
  <si>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</si>
  <si>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IDBI LTD</t>
  </si>
  <si>
    <t>STATE BANK OF INDIA</t>
  </si>
  <si>
    <t>AXIS BANK LTD</t>
  </si>
  <si>
    <t>BANDHAN BANK LTD</t>
  </si>
  <si>
    <t>CATHOLIC SYRIAN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</si>
  <si>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</si>
  <si>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</si>
  <si>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</si>
  <si>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</si>
  <si>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</si>
  <si>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</si>
  <si>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IDFC Bank Limited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</si>
  <si>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</si>
  <si>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</si>
  <si>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</si>
  <si>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</si>
  <si>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</si>
  <si>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</si>
  <si>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</si>
  <si>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</si>
  <si>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</si>
  <si>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</si>
  <si>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</si>
  <si>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</si>
  <si>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</si>
  <si>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</si>
  <si>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</si>
  <si>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</si>
  <si>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</si>
  <si>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</si>
  <si>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ADITYA BIRLA IDEA PAYMENTS BANK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</si>
  <si>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</si>
  <si>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</si>
  <si>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</si>
  <si>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</si>
  <si>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</si>
  <si>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</si>
  <si>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AU SMALL FINANCE BANK LIMITED</t>
  </si>
  <si>
    <t>CAPITAL SMALL FINANCE BANK LIMITED</t>
  </si>
  <si>
    <t>FINCARE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</si>
  <si>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</si>
  <si>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</si>
  <si>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</si>
  <si>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</si>
  <si>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SURYODAY SMALL FINANCE BANK LIMITED</t>
  </si>
  <si>
    <t>UJJIVAN SMALL FINANCE BANK LIMITED</t>
  </si>
  <si>
    <t>UTKARSH SMALL FINANCE BANK LIMITED</t>
  </si>
  <si>
    <t>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</si>
  <si>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</si>
  <si>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</si>
  <si>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</si>
  <si>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</si>
  <si>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</si>
  <si>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</si>
  <si>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</si>
  <si>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</si>
  <si>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</si>
  <si>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</si>
  <si>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</si>
  <si>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</si>
  <si>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</si>
  <si>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</si>
  <si>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ATM &amp; Card Statistics for April 2019</t>
  </si>
  <si>
    <t>ATM &amp; Card Statistics for April 2018</t>
  </si>
  <si>
    <t>No. of outstanding cards as at the end of the month</t>
  </si>
  <si>
    <t>DENA BANK</t>
  </si>
  <si>
    <t>VIJAYA BANK</t>
  </si>
  <si>
    <t>DCB BANK LTD.</t>
  </si>
  <si>
    <t>Aditya Birla Idea Payments Bank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</si>
  <si>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</si>
  <si>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</si>
  <si>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</si>
  <si>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</si>
  <si>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</si>
  <si>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</si>
  <si>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Au Small Finance Bank Limited</t>
  </si>
  <si>
    <t>Capital Small Finance Bank Limited</t>
  </si>
  <si>
    <t>Fincare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</si>
  <si>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</si>
  <si>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</si>
  <si>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</si>
  <si>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</si>
  <si>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Suryoday Small Finance Bank Limited</t>
  </si>
  <si>
    <t>Ujjivan Small Finance Bank Limited</t>
  </si>
  <si>
    <t>Utkarsh Small Finance Bank Limited</t>
  </si>
  <si>
    <t>Note: Data pertaining to Payment Banks and Small Finance Banks, as reported by them, have been included from April 2018.</t>
  </si>
  <si>
    <t>Remember using pie chart for showing data comparison</t>
  </si>
  <si>
    <t>HDFC in 2018 vs HDFC in 2019</t>
  </si>
  <si>
    <t>Share of government enterprises</t>
  </si>
  <si>
    <t>HDFC Bank</t>
  </si>
  <si>
    <t>Previous Years »</t>
  </si>
  <si>
    <t>Standalone Balance Sheet</t>
  </si>
  <si>
    <t>------------------- in Rs. Cr. -------------------</t>
  </si>
  <si>
    <t>Mar 20</t>
  </si>
  <si>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</si>
  <si>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</si>
  <si>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</si>
  <si>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</si>
  <si>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</si>
  <si>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</si>
  <si>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</si>
  <si>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</si>
  <si>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Deposits</t>
  </si>
  <si>
    <t>Borrowings</t>
  </si>
  <si>
    <t>Other Liabilities and Provisions</t>
  </si>
  <si>
    <t>Total Capital and Liabilities</t>
  </si>
  <si>
    <t>ASSETS</t>
  </si>
  <si>
    <t>Cash and Balances with Reserve Bank of India</t>
  </si>
  <si>
    <t>Balances with Banks Money at Call and Short Notice</t>
  </si>
  <si>
    <t>Investments</t>
  </si>
  <si>
    <t>Advances</t>
  </si>
  <si>
    <t>Fixed Assets</t>
  </si>
  <si>
    <t>Other Assets</t>
  </si>
  <si>
    <t>Total Assets</t>
  </si>
  <si>
    <t>OTHER ADDITIONAL INFORMATION</t>
  </si>
  <si>
    <t>Number of Branches</t>
  </si>
  <si>
    <t>Number of Employees</t>
  </si>
  <si>
    <t>Capital Adequacy Ratios (%)</t>
  </si>
  <si>
    <t>KEY PERFORMANCE INDICATORS</t>
  </si>
  <si>
    <t>Tier 1 (%)</t>
  </si>
  <si>
    <t>Tier 2 (%)</t>
  </si>
  <si>
    <t>ASSETS QUALITY</t>
  </si>
  <si>
    <t>Gross NPA</t>
  </si>
  <si>
    <t>Gross NPA (%)</t>
  </si>
  <si>
    <t>Net NPA</t>
  </si>
  <si>
    <t>Net NPA (%)</t>
  </si>
  <si>
    <t>Net NPA To Advances (%)</t>
  </si>
  <si>
    <t>CONTINGENT LIABILITIES, COMMITMENTS</t>
  </si>
  <si>
    <t>Bills for Collection</t>
  </si>
  <si>
    <t>Contingent Liabilities</t>
  </si>
  <si>
    <r>
      <t>Source : </t>
    </r>
    <r>
      <rPr>
        <b/>
        <sz val="6"/>
        <color rgb="FFFB9646"/>
        <rFont val="Tahoma"/>
        <family val="2"/>
      </rPr>
      <t>Dion Global Solutions Limited</t>
    </r>
  </si>
  <si>
    <t>Standalone Profit &amp; Loss account</t>
  </si>
  <si>
    <t>INCOME</t>
  </si>
  <si>
    <t>Interest / Discount on Advances / Bills</t>
  </si>
  <si>
    <t>Income from Investments</t>
  </si>
  <si>
    <t>Interest on Balance with RBI and Other Inter-Bank funds</t>
  </si>
  <si>
    <t>Others</t>
  </si>
  <si>
    <t>Total Interest Earned</t>
  </si>
  <si>
    <t>Other Income</t>
  </si>
  <si>
    <t>Total Income</t>
  </si>
  <si>
    <t>EXPENDITURE</t>
  </si>
  <si>
    <t>Interest Expended</t>
  </si>
  <si>
    <t>Payments to and Provisions for Employees</t>
  </si>
  <si>
    <t>Depreciation</t>
  </si>
  <si>
    <t>Operating Expenses (excludes Employee Cost &amp; Depreciation)</t>
  </si>
  <si>
    <t>Total Operating Expenses</t>
  </si>
  <si>
    <t>Provision Towards Income Tax</t>
  </si>
  <si>
    <t>Provision Towards Deferred Tax</t>
  </si>
  <si>
    <t>Other Provisions and Contingencies</t>
  </si>
  <si>
    <t>Total Provisions and Contingencies</t>
  </si>
  <si>
    <t>Total Expenditure</t>
  </si>
  <si>
    <t>Net Profit / Loss for The Year</t>
  </si>
  <si>
    <t>Net Profit / Loss After EI &amp; Prior Year Items</t>
  </si>
  <si>
    <t>Profit / Loss Brought Forward</t>
  </si>
  <si>
    <t>Total Profit / Loss available for Appropriations</t>
  </si>
  <si>
    <t>APPROPRIATIONS</t>
  </si>
  <si>
    <t>Transfer To / From Statutory Reserve</t>
  </si>
  <si>
    <t>Transfer To / From Capital Reserve</t>
  </si>
  <si>
    <t>Transfer To / From General Reserve</t>
  </si>
  <si>
    <t>Transfer To / From Investment Reserve</t>
  </si>
  <si>
    <t>Dividend and Dividend Tax for The Previous Year</t>
  </si>
  <si>
    <t>Equity Share Dividend</t>
  </si>
  <si>
    <t>Tax On Dividend</t>
  </si>
  <si>
    <t>Balance Carried Over To Balance Sheet</t>
  </si>
  <si>
    <t>Total Appropriations</t>
  </si>
  <si>
    <t>OTHER INFORMATION</t>
  </si>
  <si>
    <t>EARNINGS PER SHARE</t>
  </si>
  <si>
    <t>Basic EPS (Rs.)</t>
  </si>
  <si>
    <t>Diluted EPS (Rs.)</t>
  </si>
  <si>
    <t>DIVIDEND PERCENTAGE</t>
  </si>
  <si>
    <t>Equity Dividend Rate (%)</t>
  </si>
  <si>
    <t>Govertnment owned banks</t>
  </si>
  <si>
    <t>Row Labels</t>
  </si>
  <si>
    <t>Grand Total</t>
  </si>
  <si>
    <t>POS On-line</t>
  </si>
  <si>
    <t xml:space="preserve"> CC Value of transactions (Rs. Millions)</t>
  </si>
  <si>
    <t>Debit Value of transactions
(Rs. Millions)POS</t>
  </si>
  <si>
    <t>Debit Value of transactions
(Rs. Millions) ATM</t>
  </si>
  <si>
    <t>Sum of  CC Amount of transactions (Rs. Millions)</t>
  </si>
  <si>
    <t>CC-ATM value of transactions</t>
  </si>
  <si>
    <t>CC-POS value of transactions</t>
  </si>
  <si>
    <t>DC-ATM value of transactions</t>
  </si>
  <si>
    <t>DC-POS value of transactions</t>
  </si>
  <si>
    <t>Sum of Debit Amount of transactions
(Rs. Millions)POS</t>
  </si>
  <si>
    <t>Banks</t>
  </si>
  <si>
    <t>DC-POS</t>
  </si>
  <si>
    <t>CC-POS</t>
  </si>
  <si>
    <t>YOY</t>
  </si>
  <si>
    <t xml:space="preserve"> </t>
  </si>
  <si>
    <t>CC-outstanding</t>
  </si>
  <si>
    <t>DC-outstanding</t>
  </si>
  <si>
    <t>Amount-CC-POS</t>
  </si>
  <si>
    <t>amount-DC-POS</t>
  </si>
  <si>
    <t>rough column 1/cc</t>
  </si>
  <si>
    <t>rough column 2/dc</t>
  </si>
  <si>
    <t>Amount-DC-POS</t>
  </si>
  <si>
    <t>POS Amount/CC issued</t>
  </si>
  <si>
    <t>POS Amount/DC issued</t>
  </si>
  <si>
    <t>Amount-cc-ATM</t>
  </si>
  <si>
    <t>rc 3/cc atm</t>
  </si>
  <si>
    <t>sum ATM+POS</t>
  </si>
  <si>
    <t>TOTAL/CC</t>
  </si>
  <si>
    <t>% increase CC</t>
  </si>
  <si>
    <t>rc 4/dc atm</t>
  </si>
  <si>
    <t>Amount DC atm</t>
  </si>
  <si>
    <t>SUM atm+pos</t>
  </si>
  <si>
    <t>total/dc</t>
  </si>
  <si>
    <t>%increase DC</t>
  </si>
  <si>
    <t>per trans @atm_dc</t>
  </si>
  <si>
    <t>per trans @pos_dc</t>
  </si>
  <si>
    <t>per trans @atm_cc</t>
  </si>
  <si>
    <t>per trans @pos_cc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</si>
</sst>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00E+00"/>
  </numFmts>
  <fonts count="16" x14ac:knownFonts="1"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</font>
    <font>
      <sz val="6"/>
      <color rgb="FF00000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6"/>
      <color rgb="FF000000"/>
      <name val="Tahoma"/>
      <family val="2"/>
    </font>
    <font>
      <b/>
      <sz val="6"/>
      <color rgb="FFFB9646"/>
      <name val="Tahoma"/>
      <family val="2"/>
    </font>
    <font>
      <u/>
      <sz val="10"/>
      <color theme="10"/>
      <name val="Arial"/>
      <family val="2"/>
    </font>
    <font>
      <b/>
      <sz val="6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BE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70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" fontId="5" fillId="2" borderId="1" xfId="0" applyNumberFormat="1" applyFont="1" applyFill="1" applyBorder="1"/>
    <xf numFmtId="0" fontId="2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0" xfId="0" applyFont="1" applyFill="1"/>
    <xf numFmtId="1" fontId="4" fillId="2" borderId="0" xfId="0" applyNumberFormat="1" applyFont="1" applyFill="1"/>
    <xf numFmtId="1" fontId="0" fillId="2" borderId="0" xfId="0" applyNumberFormat="1" applyFill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justify" vertical="top" wrapText="1"/>
    </xf>
    <xf numFmtId="43" fontId="3" fillId="2" borderId="1" xfId="2" applyFont="1" applyFill="1" applyBorder="1"/>
    <xf numFmtId="43" fontId="5" fillId="2" borderId="1" xfId="2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vertical="center" wrapText="1"/>
    </xf>
    <xf numFmtId="0" fontId="13" fillId="3" borderId="0" xfId="3" applyFill="1" applyAlignment="1">
      <alignment horizontal="right" vertical="center" wrapText="1"/>
    </xf>
    <xf numFmtId="0" fontId="9" fillId="4" borderId="8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right" vertical="center" wrapText="1"/>
    </xf>
    <xf numFmtId="16" fontId="9" fillId="3" borderId="8" xfId="0" applyNumberFormat="1" applyFont="1" applyFill="1" applyBorder="1" applyAlignment="1">
      <alignment horizontal="right" vertical="center" wrapText="1"/>
    </xf>
    <xf numFmtId="0" fontId="10" fillId="3" borderId="8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>
      <alignment horizontal="right" vertical="center" wrapText="1"/>
    </xf>
    <xf numFmtId="4" fontId="10" fillId="3" borderId="8" xfId="0" applyNumberFormat="1" applyFont="1" applyFill="1" applyBorder="1" applyAlignment="1">
      <alignment horizontal="right" vertical="center" wrapText="1"/>
    </xf>
    <xf numFmtId="4" fontId="9" fillId="4" borderId="8" xfId="0" applyNumberFormat="1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14" fillId="3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right" vertical="center" wrapText="1"/>
    </xf>
    <xf numFmtId="16" fontId="14" fillId="3" borderId="8" xfId="0" applyNumberFormat="1" applyFont="1" applyFill="1" applyBorder="1" applyAlignment="1">
      <alignment horizontal="right" vertical="center" wrapText="1"/>
    </xf>
    <xf numFmtId="0" fontId="8" fillId="3" borderId="8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horizontal="right" vertical="center" wrapText="1"/>
    </xf>
    <xf numFmtId="4" fontId="8" fillId="3" borderId="8" xfId="0" applyNumberFormat="1" applyFont="1" applyFill="1" applyBorder="1" applyAlignment="1">
      <alignment horizontal="right" vertical="center" wrapText="1"/>
    </xf>
    <xf numFmtId="0" fontId="14" fillId="4" borderId="8" xfId="0" applyFont="1" applyFill="1" applyBorder="1" applyAlignment="1">
      <alignment vertical="center" wrapText="1"/>
    </xf>
    <xf numFmtId="4" fontId="14" fillId="4" borderId="8" xfId="0" applyNumberFormat="1" applyFont="1" applyFill="1" applyBorder="1" applyAlignment="1">
      <alignment horizontal="right" vertical="center" wrapText="1"/>
    </xf>
    <xf numFmtId="4" fontId="14" fillId="3" borderId="8" xfId="0" applyNumberFormat="1" applyFont="1" applyFill="1" applyBorder="1" applyAlignment="1">
      <alignment horizontal="right" vertical="center" wrapText="1"/>
    </xf>
    <xf numFmtId="0" fontId="15" fillId="3" borderId="8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horizontal="right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3" fillId="2" borderId="2" xfId="0" applyNumberFormat="1" applyFont="1" applyFill="1" applyBorder="1"/>
    <xf numFmtId="0" fontId="1" fillId="2" borderId="7" xfId="0" applyFont="1" applyFill="1" applyBorder="1" applyAlignment="1">
      <alignment vertical="center" wrapText="1"/>
    </xf>
    <xf numFmtId="2" fontId="1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/>
    </xf>
    <xf numFmtId="1" fontId="3" fillId="2" borderId="5" xfId="0" applyNumberFormat="1" applyFont="1" applyFill="1" applyBorder="1"/>
    <xf numFmtId="164" fontId="3" fillId="2" borderId="5" xfId="0" applyNumberFormat="1" applyFont="1" applyFill="1" applyBorder="1"/>
    <xf numFmtId="164" fontId="3" fillId="2" borderId="23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/>
    </xf>
    <xf numFmtId="0" fontId="1" fillId="2" borderId="21" xfId="0" applyFont="1" applyFill="1" applyBorder="1" applyAlignment="1">
      <alignment vertical="center"/>
    </xf>
    <xf numFmtId="1" fontId="1" fillId="2" borderId="7" xfId="0" applyNumberFormat="1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9" fontId="0" fillId="2" borderId="0" xfId="4" applyFont="1" applyFill="1"/>
    <xf numFmtId="0" fontId="0" fillId="2" borderId="0" xfId="0" applyFill="1" applyAlignment="1">
      <alignment horizontal="center"/>
    </xf>
    <xf numFmtId="43" fontId="3" fillId="2" borderId="1" xfId="2" applyFont="1" applyFill="1" applyBorder="1" applyAlignment="1">
      <alignment horizontal="center"/>
    </xf>
    <xf numFmtId="9" fontId="0" fillId="2" borderId="0" xfId="4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2" borderId="0" xfId="2" applyFont="1" applyFill="1" applyAlignment="1">
      <alignment horizontal="center"/>
    </xf>
    <xf numFmtId="43" fontId="4" fillId="2" borderId="0" xfId="2" applyFont="1" applyFill="1" applyAlignment="1">
      <alignment horizontal="center"/>
    </xf>
    <xf numFmtId="43" fontId="0" fillId="2" borderId="0" xfId="2" applyFont="1" applyFill="1"/>
    <xf numFmtId="43" fontId="4" fillId="2" borderId="0" xfId="2" applyFont="1" applyFill="1"/>
    <xf numFmtId="165" fontId="3" fillId="2" borderId="1" xfId="2" applyNumberFormat="1" applyFont="1" applyFill="1" applyBorder="1"/>
    <xf numFmtId="165" fontId="3" fillId="2" borderId="5" xfId="2" applyNumberFormat="1" applyFont="1" applyFill="1" applyBorder="1"/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/>
    </xf>
    <xf numFmtId="165" fontId="0" fillId="2" borderId="0" xfId="0" applyNumberFormat="1" applyFill="1"/>
    <xf numFmtId="165" fontId="1" fillId="2" borderId="1" xfId="0" applyNumberFormat="1" applyFont="1" applyFill="1" applyBorder="1" applyAlignment="1">
      <alignment horizontal="center" vertical="center"/>
    </xf>
    <xf numFmtId="165" fontId="3" fillId="2" borderId="1" xfId="2" applyNumberFormat="1" applyFont="1" applyFill="1" applyBorder="1" applyAlignment="1">
      <alignment horizontal="center"/>
    </xf>
    <xf numFmtId="165" fontId="0" fillId="2" borderId="0" xfId="2" applyNumberFormat="1" applyFont="1" applyFill="1" applyAlignment="1">
      <alignment horizontal="center"/>
    </xf>
    <xf numFmtId="165" fontId="4" fillId="2" borderId="0" xfId="2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0" borderId="0" xfId="0" applyNumberFormat="1"/>
    <xf numFmtId="165" fontId="1" fillId="2" borderId="21" xfId="2" applyNumberFormat="1" applyFont="1" applyFill="1" applyBorder="1" applyAlignment="1">
      <alignment vertical="center" wrapText="1"/>
    </xf>
    <xf numFmtId="165" fontId="1" fillId="2" borderId="7" xfId="2" applyNumberFormat="1" applyFont="1" applyFill="1" applyBorder="1" applyAlignment="1">
      <alignment vertical="center"/>
    </xf>
    <xf numFmtId="165" fontId="1" fillId="2" borderId="7" xfId="2" applyNumberFormat="1" applyFont="1" applyFill="1" applyBorder="1" applyAlignment="1">
      <alignment vertical="center" wrapText="1"/>
    </xf>
    <xf numFmtId="165" fontId="1" fillId="2" borderId="7" xfId="2" applyNumberFormat="1" applyFont="1" applyFill="1" applyBorder="1" applyAlignment="1">
      <alignment horizontal="center" vertical="center"/>
    </xf>
    <xf numFmtId="165" fontId="1" fillId="2" borderId="7" xfId="2" applyNumberFormat="1" applyFont="1" applyFill="1" applyBorder="1" applyAlignment="1">
      <alignment horizontal="center" vertical="center" wrapText="1"/>
    </xf>
    <xf numFmtId="165" fontId="1" fillId="2" borderId="22" xfId="2" applyNumberFormat="1" applyFont="1" applyFill="1" applyBorder="1" applyAlignment="1">
      <alignment horizontal="center" vertical="center" wrapText="1"/>
    </xf>
    <xf numFmtId="165" fontId="3" fillId="2" borderId="4" xfId="2" applyNumberFormat="1" applyFont="1" applyFill="1" applyBorder="1" applyAlignment="1">
      <alignment horizontal="center"/>
    </xf>
    <xf numFmtId="165" fontId="3" fillId="2" borderId="1" xfId="2" applyNumberFormat="1" applyFont="1" applyFill="1" applyBorder="1" applyAlignment="1">
      <alignment horizontal="left"/>
    </xf>
    <xf numFmtId="165" fontId="3" fillId="2" borderId="2" xfId="2" applyNumberFormat="1" applyFont="1" applyFill="1" applyBorder="1"/>
    <xf numFmtId="165" fontId="3" fillId="2" borderId="20" xfId="2" applyNumberFormat="1" applyFont="1" applyFill="1" applyBorder="1" applyAlignment="1">
      <alignment horizontal="center"/>
    </xf>
    <xf numFmtId="165" fontId="3" fillId="2" borderId="5" xfId="2" applyNumberFormat="1" applyFont="1" applyFill="1" applyBorder="1" applyAlignment="1">
      <alignment horizontal="left"/>
    </xf>
    <xf numFmtId="165" fontId="3" fillId="2" borderId="23" xfId="2" applyNumberFormat="1" applyFont="1" applyFill="1" applyBorder="1"/>
    <xf numFmtId="165" fontId="0" fillId="0" borderId="0" xfId="2" applyNumberFormat="1" applyFont="1"/>
    <xf numFmtId="166" fontId="0" fillId="0" borderId="0" xfId="0" applyNumberFormat="1"/>
    <xf numFmtId="9" fontId="3" fillId="2" borderId="1" xfId="4" applyFont="1" applyFill="1" applyBorder="1"/>
    <xf numFmtId="0" fontId="0" fillId="0" borderId="1" xfId="0" applyBorder="1"/>
    <xf numFmtId="0" fontId="3" fillId="0" borderId="1" xfId="0" applyFont="1" applyBorder="1"/>
    <xf numFmtId="165" fontId="0" fillId="0" borderId="1" xfId="2" applyNumberFormat="1" applyFont="1" applyBorder="1"/>
    <xf numFmtId="1" fontId="0" fillId="0" borderId="1" xfId="0" applyNumberFormat="1" applyBorder="1"/>
    <xf numFmtId="165" fontId="0" fillId="0" borderId="1" xfId="0" applyNumberFormat="1" applyBorder="1"/>
    <xf numFmtId="9" fontId="0" fillId="0" borderId="1" xfId="4" applyFont="1" applyBorder="1"/>
    <xf numFmtId="1" fontId="0" fillId="0" borderId="0" xfId="0" applyNumberFormat="1"/>
    <xf numFmtId="43" fontId="0" fillId="0" borderId="1" xfId="0" applyNumberFormat="1" applyBorder="1"/>
    <xf numFmtId="0" fontId="0" fillId="0" borderId="4" xfId="0" applyBorder="1"/>
    <xf numFmtId="0" fontId="3" fillId="0" borderId="2" xfId="0" applyFont="1" applyBorder="1"/>
    <xf numFmtId="9" fontId="0" fillId="0" borderId="2" xfId="4" applyFont="1" applyBorder="1"/>
    <xf numFmtId="9" fontId="3" fillId="2" borderId="0" xfId="4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  <xf numFmtId="0" fontId="2" fillId="2" borderId="4" xfId="1" applyFont="1" applyFill="1" applyBorder="1" applyAlignment="1">
      <alignment vertical="center" wrapText="1"/>
    </xf>
    <xf numFmtId="1" fontId="6" fillId="2" borderId="2" xfId="1" applyNumberFormat="1" applyFont="1" applyFill="1" applyBorder="1" applyAlignment="1">
      <alignment vertical="center" wrapText="1"/>
    </xf>
    <xf numFmtId="0" fontId="6" fillId="2" borderId="3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2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9" fillId="3" borderId="10" xfId="0" applyFont="1" applyFill="1" applyBorder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3" borderId="0" xfId="0" applyFont="1" applyFill="1" applyAlignment="1">
      <alignment horizontal="left" vertical="center" wrapText="1"/>
    </xf>
    <xf numFmtId="0" fontId="14" fillId="3" borderId="9" xfId="0" applyFont="1" applyFill="1" applyBorder="1" applyAlignment="1">
      <alignment vertical="center" wrapText="1"/>
    </xf>
    <xf numFmtId="0" fontId="14" fillId="3" borderId="10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14" fillId="4" borderId="0" xfId="0" applyFont="1" applyFill="1" applyAlignment="1">
      <alignment vertical="center" wrapText="1"/>
    </xf>
  </cellXfs>
  <cellStyles count="5">
    <cellStyle name="Comma" xfId="2" builtinId="3"/>
    <cellStyle name="Hyperlink" xfId="3" builtinId="8"/>
    <cellStyle name="Normal" xfId="0" builtinId="0"/>
    <cellStyle name="Normal 2 2" xfId="1"/>
    <cellStyle name="Percent" xfId="4" builtinId="5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</dxf>
    <dxf>
      <alignment horizontal="center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'April-2019 (2)'!$W$21:$W$30</c:f>
              <c:strCache>
                <c:ptCount val="10"/>
                <c:pt idx="0">
                  <c:v>STATE BANK OF INDIA</c:v>
                </c:pt>
                <c:pt idx="1">
                  <c:v>HDFC BANK LTD</c:v>
                </c:pt>
                <c:pt idx="2">
                  <c:v>ICICI BANK LTD</c:v>
                </c:pt>
                <c:pt idx="3">
                  <c:v>AXIS BANK LTD</c:v>
                </c:pt>
                <c:pt idx="4">
                  <c:v>BANK OF BARODA</c:v>
                </c:pt>
                <c:pt idx="5">
                  <c:v>PUNJAB NATIONAL BANK</c:v>
                </c:pt>
                <c:pt idx="6">
                  <c:v>CANARA BANK</c:v>
                </c:pt>
                <c:pt idx="7">
                  <c:v>KOTAK MAHINDRA BANK LTD</c:v>
                </c:pt>
                <c:pt idx="8">
                  <c:v>UNION BANK OF INDIA</c:v>
                </c:pt>
                <c:pt idx="9">
                  <c:v>BANK OF INDIA</c:v>
                </c:pt>
              </c:strCache>
            </c:strRef>
          </c:cat>
          <c:val>
            <c:numRef>
              <c:f>'April-2019 (2)'!$X$21:$X$30</c:f>
              <c:numCache>
                <c:formatCode>_(* #,##0_);_(* \(#,##0\);_(* "-"??_);_(@_)</c:formatCode>
                <c:ptCount val="10"/>
                <c:pt idx="0">
                  <c:v>94792.482470380026</c:v>
                </c:pt>
                <c:pt idx="1">
                  <c:v>161032.84456200001</c:v>
                </c:pt>
                <c:pt idx="2">
                  <c:v>65059.624750000003</c:v>
                </c:pt>
                <c:pt idx="3">
                  <c:v>60699.963273000001</c:v>
                </c:pt>
                <c:pt idx="4">
                  <c:v>1722.8972550000001</c:v>
                </c:pt>
                <c:pt idx="5">
                  <c:v>1325.6481463999999</c:v>
                </c:pt>
                <c:pt idx="6">
                  <c:v>1348.38425001</c:v>
                </c:pt>
                <c:pt idx="7">
                  <c:v>15824.109100720001</c:v>
                </c:pt>
                <c:pt idx="8">
                  <c:v>599.84019637999995</c:v>
                </c:pt>
                <c:pt idx="9">
                  <c:v>870.56844323999997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F-4DE3-919B-5D83B7BE38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'April-2019 (2)'!$W$21:$W$30</c:f>
              <c:strCache>
                <c:ptCount val="10"/>
                <c:pt idx="0">
                  <c:v>STATE BANK OF INDIA</c:v>
                </c:pt>
                <c:pt idx="1">
                  <c:v>HDFC BANK LTD</c:v>
                </c:pt>
                <c:pt idx="2">
                  <c:v>ICICI BANK LTD</c:v>
                </c:pt>
                <c:pt idx="3">
                  <c:v>AXIS BANK LTD</c:v>
                </c:pt>
                <c:pt idx="4">
                  <c:v>BANK OF BARODA</c:v>
                </c:pt>
                <c:pt idx="5">
                  <c:v>PUNJAB NATIONAL BANK</c:v>
                </c:pt>
                <c:pt idx="6">
                  <c:v>CANARA BANK</c:v>
                </c:pt>
                <c:pt idx="7">
                  <c:v>KOTAK MAHINDRA BANK LTD</c:v>
                </c:pt>
                <c:pt idx="8">
                  <c:v>UNION BANK OF INDIA</c:v>
                </c:pt>
                <c:pt idx="9">
                  <c:v>BANK OF INDIA</c:v>
                </c:pt>
              </c:strCache>
            </c:strRef>
          </c:cat>
          <c:val>
            <c:numRef>
              <c:f>'April-2019 (2)'!$Y$21:$Y$30</c:f>
              <c:numCache>
                <c:formatCode>_(* #,##0_);_(* \(#,##0\);_(* "-"??_);_(@_)</c:formatCode>
                <c:ptCount val="10"/>
                <c:pt idx="0">
                  <c:v>164191.48264698999</c:v>
                </c:pt>
                <c:pt idx="1">
                  <c:v>71518.773362000007</c:v>
                </c:pt>
                <c:pt idx="2">
                  <c:v>58265.673869999999</c:v>
                </c:pt>
                <c:pt idx="3">
                  <c:v>41149.600924999999</c:v>
                </c:pt>
                <c:pt idx="4">
                  <c:v>20235.210329000001</c:v>
                </c:pt>
                <c:pt idx="5">
                  <c:v>19253.56640512</c:v>
                </c:pt>
                <c:pt idx="6">
                  <c:v>16514.041194770001</c:v>
                </c:pt>
                <c:pt idx="7">
                  <c:v>13046.52593242998</c:v>
                </c:pt>
                <c:pt idx="8">
                  <c:v>11230.10190308</c:v>
                </c:pt>
                <c:pt idx="9">
                  <c:v>10826.374891129999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F-4DE3-919B-5D83B7BE3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921440"/>
        <c:axId val="520920784"/>
      </c:barChart>
      <c:catAx>
        <c:axId val="5209214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20784"/>
        <c:crosses val="autoZero"/>
        <c:auto val="1"/>
        <c:lblAlgn val="ctr"/>
        <c:lblOffset val="100"/>
        <c:noMultiLvlLbl val="0"/>
      </c:catAx>
      <c:valAx>
        <c:axId val="5209207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2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</a:t>
            </a:r>
            <a:r>
              <a:rPr lang="en-US" baseline="0"/>
              <a:t> AMT/DC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'2018-final'!$G$3:$G$12</c:f>
              <c:strCache>
                <c:ptCount val="10"/>
                <c:pt idx="0">
                  <c:v>CITI BANK</c:v>
                </c:pt>
                <c:pt idx="1">
                  <c:v>DEUTSCHE BANK LTD</c:v>
                </c:pt>
                <c:pt idx="2">
                  <c:v>HONGKONG AND SHANGHAI BKG CORPN</c:v>
                </c:pt>
                <c:pt idx="3">
                  <c:v>STANDARD CHARTERED BANK LTD</c:v>
                </c:pt>
                <c:pt idx="4">
                  <c:v>HDFC BANK LTD</c:v>
                </c:pt>
                <c:pt idx="5">
                  <c:v>YES BANK LTD</c:v>
                </c:pt>
                <c:pt idx="6">
                  <c:v>AXIS BANK LTD</c:v>
                </c:pt>
                <c:pt idx="7">
                  <c:v>ICICI BANK LTD</c:v>
                </c:pt>
                <c:pt idx="8">
                  <c:v>DCB BANK LTD.</c:v>
                </c:pt>
                <c:pt idx="9">
                  <c:v>KOTAK MAHINDRA BANK LTD</c:v>
                </c:pt>
              </c:strCache>
            </c:strRef>
          </c:xVal>
          <c:yVal>
            <c:numRef>
              <c:f>'2018-final'!$H$3:$H$12</c:f>
              <c:numCache>
                <c:formatCode>General</c:formatCode>
                <c:ptCount val="10"/>
                <c:pt idx="0">
                  <c:v>5605.6101675339314</c:v>
                </c:pt>
                <c:pt idx="1">
                  <c:v>3103.1155722591288</c:v>
                </c:pt>
                <c:pt idx="2">
                  <c:v>2921.4411496501853</c:v>
                </c:pt>
                <c:pt idx="3">
                  <c:v>2888.6084641216871</c:v>
                </c:pt>
                <c:pt idx="4">
                  <c:v>2288.5657761320308</c:v>
                </c:pt>
                <c:pt idx="5">
                  <c:v>1785.3808928581584</c:v>
                </c:pt>
                <c:pt idx="6">
                  <c:v>1453.2664411845326</c:v>
                </c:pt>
                <c:pt idx="7">
                  <c:v>1259.57243808471</c:v>
                </c:pt>
                <c:pt idx="8">
                  <c:v>1046.7736316238236</c:v>
                </c:pt>
                <c:pt idx="9">
                  <c:v>1035.670670366892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D2-4F0A-866D-90F307C8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354712"/>
        <c:axId val="236355368"/>
      </c:scatterChart>
      <c:valAx>
        <c:axId val="2363547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55368"/>
        <c:crosses val="autoZero"/>
        <c:crossBetween val="midCat"/>
      </c:valAx>
      <c:valAx>
        <c:axId val="236355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354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'2018-final'!$A$3:$A$10</c:f>
              <c:strCache>
                <c:ptCount val="8"/>
                <c:pt idx="0">
                  <c:v>AMERICAN EXPRESS</c:v>
                </c:pt>
                <c:pt idx="1">
                  <c:v>BANK OF AMERICA</c:v>
                </c:pt>
                <c:pt idx="2">
                  <c:v>INDUSIND BANK LTD</c:v>
                </c:pt>
                <c:pt idx="3">
                  <c:v>CITI BANK</c:v>
                </c:pt>
                <c:pt idx="4">
                  <c:v>IDBI LTD</c:v>
                </c:pt>
                <c:pt idx="5">
                  <c:v>STATE BANK OF INDIA</c:v>
                </c:pt>
                <c:pt idx="6">
                  <c:v>HDFC BANK LTD</c:v>
                </c:pt>
                <c:pt idx="7">
                  <c:v>ICICI BANK LTD</c:v>
                </c:pt>
              </c:strCache>
            </c:strRef>
          </c:cat>
          <c:val>
            <c:numRef>
              <c:f>'2018-final'!$B$3:$B$10</c:f>
              <c:numCache>
                <c:formatCode>General</c:formatCode>
                <c:ptCount val="8"/>
                <c:pt idx="0">
                  <c:v>37656.459204797924</c:v>
                </c:pt>
                <c:pt idx="1">
                  <c:v>21512.795800982938</c:v>
                </c:pt>
                <c:pt idx="2">
                  <c:v>20470.969687897472</c:v>
                </c:pt>
                <c:pt idx="3">
                  <c:v>16804.008336379557</c:v>
                </c:pt>
                <c:pt idx="4">
                  <c:v>12174.451021293235</c:v>
                </c:pt>
                <c:pt idx="5">
                  <c:v>11869.015212873666</c:v>
                </c:pt>
                <c:pt idx="6">
                  <c:v>11307.40656483639</c:v>
                </c:pt>
                <c:pt idx="7">
                  <c:v>10601.314777673975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8-4750-891D-8CD8336A3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936880"/>
        <c:axId val="335937208"/>
      </c:lineChart>
      <c:catAx>
        <c:axId val="33593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37208"/>
        <c:crosses val="autoZero"/>
        <c:auto val="1"/>
        <c:lblAlgn val="ctr"/>
        <c:lblOffset val="100"/>
        <c:noMultiLvlLbl val="0"/>
      </c:catAx>
      <c:valAx>
        <c:axId val="33593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3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HDFC</a:t>
            </a:r>
            <a:r>
              <a:rPr lang="en-US" baseline="0"/>
              <a:t> POS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Apr-18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'April-2019'!$Z$7</c:f>
              <c:numCache>
                <c:formatCode>_(* #,##0.00_);_(* \(#,##0.00\);_(* "-"??_);_(@_)</c:formatCode>
                <c:ptCount val="1"/>
                <c:pt idx="0">
                  <c:v>408770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B-4A75-AAD5-0C4DDAA0A6E7}"/>
            </c:ext>
          </c:extLst>
        </c:ser>
        <c:ser>
          <c:idx val="1"/>
          <c:order val="1"/>
          <c:tx>
            <c:v>Apr-19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'April-2019'!$Z$8</c:f>
              <c:numCache>
                <c:formatCode>_(* #,##0.00_);_(* \(#,##0.00\);_(* "-"??_);_(@_)</c:formatCode>
                <c:ptCount val="1"/>
                <c:pt idx="0">
                  <c:v>531547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B-4A75-AAD5-0C4DDAA0A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7744"/>
        <c:axId val="194910856"/>
      </c:barChart>
      <c:catAx>
        <c:axId val="194917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910856"/>
        <c:crosses val="autoZero"/>
        <c:auto val="1"/>
        <c:lblAlgn val="ctr"/>
        <c:lblOffset val="100"/>
        <c:noMultiLvlLbl val="0"/>
      </c:catAx>
      <c:valAx>
        <c:axId val="1949108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196466353986"/>
          <c:y val="0.84911976923967813"/>
          <c:w val="0.5643161797373013"/>
          <c:h val="0.11130529260265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SBI POS online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Apr-18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'April-2019'!$Z$12</c:f>
              <c:numCache>
                <c:formatCode>_(* #,##0.00_);_(* \(#,##0.00\);_(* "-"??_);_(@_)</c:formatCode>
                <c:ptCount val="1"/>
                <c:pt idx="0">
                  <c:v>613877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B-4312-9ECA-41AF8845B14F}"/>
            </c:ext>
          </c:extLst>
        </c:ser>
        <c:ser>
          <c:idx val="1"/>
          <c:order val="1"/>
          <c:tx>
            <c:v>Apr-19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'April-2019'!$Z$13</c:f>
              <c:numCache>
                <c:formatCode>_(* #,##0.00_);_(* \(#,##0.00\);_(* "-"??_);_(@_)</c:formatCode>
                <c:ptCount val="1"/>
                <c:pt idx="0">
                  <c:v>580765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B-4312-9ECA-41AF8845B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7744"/>
        <c:axId val="194910856"/>
      </c:barChart>
      <c:catAx>
        <c:axId val="194917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910856"/>
        <c:crosses val="autoZero"/>
        <c:auto val="1"/>
        <c:lblAlgn val="ctr"/>
        <c:lblOffset val="100"/>
        <c:noMultiLvlLbl val="0"/>
      </c:catAx>
      <c:valAx>
        <c:axId val="1949108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196466353986"/>
          <c:y val="0.84911976923967813"/>
          <c:w val="0.5643161797373013"/>
          <c:h val="0.11130529260265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HDFC CC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Apr-18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'April-2019'!$AF$7</c:f>
              <c:numCache>
                <c:formatCode>_(* #,##0.00_);_(* \(#,##0.00\);_(* "-"??_);_(@_)</c:formatCode>
                <c:ptCount val="1"/>
                <c:pt idx="0">
                  <c:v>122059.993801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0-4F51-8D26-609DA8594A48}"/>
            </c:ext>
          </c:extLst>
        </c:ser>
        <c:ser>
          <c:idx val="1"/>
          <c:order val="1"/>
          <c:tx>
            <c:v>Apr-19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'April-2019'!$AF$8</c:f>
              <c:numCache>
                <c:formatCode>_(* #,##0.00_);_(* \(#,##0.00\);_(* "-"??_);_(@_)</c:formatCode>
                <c:ptCount val="1"/>
                <c:pt idx="0">
                  <c:v>161032.84456200001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70-4F51-8D26-609DA859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7744"/>
        <c:axId val="194910856"/>
      </c:barChart>
      <c:catAx>
        <c:axId val="194917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910856"/>
        <c:crosses val="autoZero"/>
        <c:auto val="1"/>
        <c:lblAlgn val="ctr"/>
        <c:lblOffset val="100"/>
        <c:noMultiLvlLbl val="0"/>
      </c:catAx>
      <c:valAx>
        <c:axId val="1949108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196466353986"/>
          <c:y val="0.84911976923967813"/>
          <c:w val="0.5643161797373013"/>
          <c:h val="0.11130529260265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SBI CC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Apr-18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'April-2019'!$AF$12</c:f>
              <c:numCache>
                <c:formatCode>_(* #,##0.00_);_(* \(#,##0.00\);_(* "-"??_);_(@_)</c:formatCode>
                <c:ptCount val="1"/>
                <c:pt idx="0">
                  <c:v>75460.646885180002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3-4789-A1FD-731BAD6DBFC1}"/>
            </c:ext>
          </c:extLst>
        </c:ser>
        <c:ser>
          <c:idx val="1"/>
          <c:order val="1"/>
          <c:tx>
            <c:v>Apr-19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'April-2019'!$AF$13</c:f>
              <c:numCache>
                <c:formatCode>_(* #,##0.00_);_(* \(#,##0.00\);_(* "-"??_);_(@_)</c:formatCode>
                <c:ptCount val="1"/>
                <c:pt idx="0">
                  <c:v>94792.482470380026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43-4789-A1FD-731BAD6D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7744"/>
        <c:axId val="194910856"/>
      </c:barChart>
      <c:catAx>
        <c:axId val="194917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910856"/>
        <c:crosses val="autoZero"/>
        <c:auto val="1"/>
        <c:lblAlgn val="ctr"/>
        <c:lblOffset val="100"/>
        <c:noMultiLvlLbl val="0"/>
      </c:catAx>
      <c:valAx>
        <c:axId val="1949108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196466353986"/>
          <c:y val="0.84911976923967813"/>
          <c:w val="0.5643161797373013"/>
          <c:h val="0.11130529260265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HDFC DC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Apr-18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'April-2019'!$AK$7</c:f>
              <c:numCache>
                <c:formatCode>_(* #,##0.00_);_(* \(#,##0.00\);_(* "-"??_);_(@_)</c:formatCode>
                <c:ptCount val="1"/>
                <c:pt idx="0">
                  <c:v>56155.270790000002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3-42D6-BE0F-D527B78EF855}"/>
            </c:ext>
          </c:extLst>
        </c:ser>
        <c:ser>
          <c:idx val="1"/>
          <c:order val="1"/>
          <c:tx>
            <c:v>Apr-19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'April-2019'!$AK$8</c:f>
              <c:numCache>
                <c:formatCode>_(* #,##0.00_);_(* \(#,##0.00\);_(* "-"??_);_(@_)</c:formatCode>
                <c:ptCount val="1"/>
                <c:pt idx="0">
                  <c:v>71518.773362000007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3-42D6-BE0F-D527B78EF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7744"/>
        <c:axId val="194910856"/>
      </c:barChart>
      <c:catAx>
        <c:axId val="194917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910856"/>
        <c:crosses val="autoZero"/>
        <c:auto val="1"/>
        <c:lblAlgn val="ctr"/>
        <c:lblOffset val="100"/>
        <c:noMultiLvlLbl val="0"/>
      </c:catAx>
      <c:valAx>
        <c:axId val="1949108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196466353986"/>
          <c:y val="0.84911976923967813"/>
          <c:w val="0.5643161797373013"/>
          <c:h val="0.11130529260265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SBI DC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Apr-18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'April-2019'!$AK$12</c:f>
              <c:numCache>
                <c:formatCode>_(* #,##0.00_);_(* \(#,##0.00\);_(* "-"??_);_(@_)</c:formatCode>
                <c:ptCount val="1"/>
                <c:pt idx="0">
                  <c:v>139835.28102996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D-4396-8A3E-85E276E1F29B}"/>
            </c:ext>
          </c:extLst>
        </c:ser>
        <c:ser>
          <c:idx val="1"/>
          <c:order val="1"/>
          <c:tx>
            <c:v>Apr-19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'April-2019'!$AK$13</c:f>
              <c:numCache>
                <c:formatCode>_(* #,##0.00_);_(* \(#,##0.00\);_(* "-"??_);_(@_)</c:formatCode>
                <c:ptCount val="1"/>
                <c:pt idx="0">
                  <c:v>164191.48264698999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7D-4396-8A3E-85E276E1F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917744"/>
        <c:axId val="194910856"/>
      </c:barChart>
      <c:catAx>
        <c:axId val="19491774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4910856"/>
        <c:crosses val="autoZero"/>
        <c:auto val="1"/>
        <c:lblAlgn val="ctr"/>
        <c:lblOffset val="100"/>
        <c:noMultiLvlLbl val="0"/>
      </c:catAx>
      <c:valAx>
        <c:axId val="1949108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7744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067196466353986"/>
          <c:y val="0.84911976923967813"/>
          <c:w val="0.5643161797373013"/>
          <c:h val="0.11130529260265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539751</xdr:colOff>
      <xdr:row>19</xdr:row>
      <xdr:rowOff>21872</xdr:rowOff>
    </xdr:from>
    <xdr:to>
      <xdr:col>30</xdr:col>
      <xdr:colOff>395111</xdr:colOff>
      <xdr:row>37</xdr:row>
      <xdr:rowOff>105833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5</xdr:row>
      <xdr:rowOff>34925</xdr:rowOff>
    </xdr:from>
    <xdr:to>
      <xdr:col>19</xdr:col>
      <xdr:colOff>552449</xdr:colOff>
      <xdr:row>21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276225</xdr:colOff>
      <xdr:row>22</xdr:row>
      <xdr:rowOff>130175</xdr:rowOff>
    </xdr:from>
    <xdr:to>
      <xdr:col>18</xdr:col>
      <xdr:colOff>581025</xdr:colOff>
      <xdr:row>40</xdr:row>
      <xdr:rowOff>15875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624418</xdr:colOff>
      <xdr:row>16</xdr:row>
      <xdr:rowOff>43039</xdr:rowOff>
    </xdr:from>
    <xdr:to>
      <xdr:col>23</xdr:col>
      <xdr:colOff>28222</xdr:colOff>
      <xdr:row>28</xdr:row>
      <xdr:rowOff>70556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1248835</xdr:colOff>
      <xdr:row>19</xdr:row>
      <xdr:rowOff>98778</xdr:rowOff>
    </xdr:from>
    <xdr:to>
      <xdr:col>22</xdr:col>
      <xdr:colOff>176390</xdr:colOff>
      <xdr:row>21</xdr:row>
      <xdr:rowOff>35278</xdr:rowOff>
    </xdr:to>
    <xdr:sp macro="" textlink="">
      <xdr:nvSpPr>
        <xdr:cNvPr id="3" name="TextBox 2"/>
        <xdr:cNvSpPr txBox="1"/>
      </xdr:nvSpPr>
      <xdr:spPr>
        <a:xfrm>
          <a:off x="22514279" y="3697111"/>
          <a:ext cx="437444" cy="2610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30%</a:t>
          </a:r>
        </a:p>
      </xdr:txBody>
    </xdr:sp>
    <xdr:clientData/>
  </xdr:twoCellAnchor>
  <xdr:twoCellAnchor>
    <xdr:from>
      <xdr:col>24</xdr:col>
      <xdr:colOff>0</xdr:colOff>
      <xdr:row>16</xdr:row>
      <xdr:rowOff>0</xdr:rowOff>
    </xdr:from>
    <xdr:to>
      <xdr:col>27</xdr:col>
      <xdr:colOff>45860</xdr:colOff>
      <xdr:row>28</xdr:row>
      <xdr:rowOff>27517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16</xdr:row>
      <xdr:rowOff>0</xdr:rowOff>
    </xdr:from>
    <xdr:to>
      <xdr:col>31</xdr:col>
      <xdr:colOff>243415</xdr:colOff>
      <xdr:row>28</xdr:row>
      <xdr:rowOff>27517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0</xdr:colOff>
      <xdr:row>16</xdr:row>
      <xdr:rowOff>0</xdr:rowOff>
    </xdr:from>
    <xdr:to>
      <xdr:col>34</xdr:col>
      <xdr:colOff>384526</xdr:colOff>
      <xdr:row>28</xdr:row>
      <xdr:rowOff>27517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31</xdr:row>
      <xdr:rowOff>0</xdr:rowOff>
    </xdr:from>
    <xdr:to>
      <xdr:col>31</xdr:col>
      <xdr:colOff>243415</xdr:colOff>
      <xdr:row>43</xdr:row>
      <xdr:rowOff>27517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0</xdr:colOff>
      <xdr:row>31</xdr:row>
      <xdr:rowOff>0</xdr:rowOff>
    </xdr:from>
    <xdr:to>
      <xdr:col>34</xdr:col>
      <xdr:colOff>384526</xdr:colOff>
      <xdr:row>43</xdr:row>
      <xdr:rowOff>27517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0.39892</cdr:x>
      <cdr:y>0.16692</cdr:y>
    </cdr:from>
    <cdr:to>
      <cdr:x>0.56559</cdr:x>
      <cdr:y>0.3161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823861" y="457905"/>
          <a:ext cx="762000" cy="40922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0.58796</cdr:x>
      <cdr:y>0.36442</cdr:y>
    </cdr:from>
    <cdr:to>
      <cdr:x>0.78158</cdr:x>
      <cdr:y>0.54305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1756833" y="719667"/>
          <a:ext cx="578555" cy="35277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0.65218</cdr:x>
      <cdr:y>0.27581</cdr:y>
    </cdr:from>
    <cdr:to>
      <cdr:x>0.79858</cdr:x>
      <cdr:y>0.408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1948745" y="544689"/>
          <a:ext cx="437444" cy="2610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-5%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0.51712</cdr:x>
      <cdr:y>0.28939</cdr:y>
    </cdr:from>
    <cdr:to>
      <cdr:x>0.68713</cdr:x>
      <cdr:y>0.41086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545166" y="571501"/>
          <a:ext cx="508000" cy="23988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0.44911</cdr:x>
      <cdr:y>0.22579</cdr:y>
    </cdr:from>
    <cdr:to>
      <cdr:x>0.59551</cdr:x>
      <cdr:y>0.35798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1341953" y="445905"/>
          <a:ext cx="437447" cy="2610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32%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0.51712</cdr:x>
      <cdr:y>0.28939</cdr:y>
    </cdr:from>
    <cdr:to>
      <cdr:x>0.68713</cdr:x>
      <cdr:y>0.41086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545166" y="571501"/>
          <a:ext cx="508000" cy="23988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0.44911</cdr:x>
      <cdr:y>0.22579</cdr:y>
    </cdr:from>
    <cdr:to>
      <cdr:x>0.59551</cdr:x>
      <cdr:y>0.35798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1341953" y="445905"/>
          <a:ext cx="437447" cy="2610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26%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0.51712</cdr:x>
      <cdr:y>0.28939</cdr:y>
    </cdr:from>
    <cdr:to>
      <cdr:x>0.68713</cdr:x>
      <cdr:y>0.41086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545166" y="571501"/>
          <a:ext cx="508000" cy="23988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0.44911</cdr:x>
      <cdr:y>0.22579</cdr:y>
    </cdr:from>
    <cdr:to>
      <cdr:x>0.59551</cdr:x>
      <cdr:y>0.35798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1341953" y="445905"/>
          <a:ext cx="437447" cy="2610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27%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0.51712</cdr:x>
      <cdr:y>0.40729</cdr:y>
    </cdr:from>
    <cdr:to>
      <cdr:x>0.68713</cdr:x>
      <cdr:y>0.52876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545168" y="804336"/>
          <a:ext cx="507994" cy="23988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0.45147</cdr:x>
      <cdr:y>0.34369</cdr:y>
    </cdr:from>
    <cdr:to>
      <cdr:x>0.59787</cdr:x>
      <cdr:y>0.47588</cdr:y>
    </cdr:to>
    <cdr:sp macro="" textlink="">
      <cdr:nvSpPr>
        <cdr:cNvPr id="6" name="TextBox 2"/>
        <cdr:cNvSpPr txBox="1"/>
      </cdr:nvSpPr>
      <cdr:spPr>
        <a:xfrm xmlns:a="http://schemas.openxmlformats.org/drawingml/2006/main">
          <a:off x="1349008" y="678735"/>
          <a:ext cx="437447" cy="26105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17%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43</xdr:row>
      <xdr:rowOff>76200</xdr:rowOff>
    </xdr:to>
    <xdr:pic>
      <xdr:nvPicPr>
        <xdr:cNvPr id="4" name="Picture 3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9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76200</xdr:colOff>
      <xdr:row>45</xdr:row>
      <xdr:rowOff>76200</xdr:rowOff>
    </xdr:to>
    <xdr:pic>
      <xdr:nvPicPr>
        <xdr:cNvPr id="5" name="Picture 4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6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1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yal, Amartya" refreshedDate="44240.473306944441" createdVersion="6" refreshedVersion="6" minRefreshableVersion="3" recordCount="86">
  <cacheSource type="worksheet">
    <worksheetSource ref="A1:A87" sheet="April-2018 (2)"/>
  </cacheSource>
  <cacheFields count="1">
    <cacheField name="ATM &amp; Card Statistics for April 2018" numFmtId="0">
      <sharedItems containsBlank="1" containsMixedTypes="1" containsNumber="1" containsInteger="1" minValue="1" maxValue="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yal, Amartya" refreshedDate="44254.866855092594" createdVersion="6" refreshedVersion="6" minRefreshableVersion="3" recordCount="22">
  <cacheSource type="worksheet">
    <worksheetSource name="Table1"/>
  </cacheSource>
  <cacheFields count="8">
    <cacheField name="Sr. No." numFmtId="0">
      <sharedItems containsSemiMixedTypes="0" containsString="0" containsNumber="1" containsInteger="1" minValue="1" maxValue="33"/>
    </cacheField>
    <cacheField name="Bank Name" numFmtId="0">
      <sharedItems count="22">
        <s v="ALLAHABAD BANK"/>
        <s v="ANDHRA BANK"/>
        <s v="BANK OF BARODA"/>
        <s v="BANK OF INDIA"/>
        <s v="BANK OF MAHARASHTRA"/>
        <s v="CANARA BANK"/>
        <s v="CENTRAL BANK OF INDIA"/>
        <s v="CORPORATION BANK"/>
        <s v="DENA BANK"/>
        <s v="INDIAN BANK"/>
        <s v="INDIAN OVERSEAS BANK"/>
        <s v="ORIENTAL BANK OF COMMERCE"/>
        <s v="PUNJAB AND SIND BANK"/>
        <s v="PUNJAB NATIONAL BANK"/>
        <s v="SYNDICATE BANK"/>
        <s v="UCO BANK"/>
        <s v="UNION BANK OF INDIA"/>
        <s v="UNITED BANK OF INDIA"/>
        <s v="VIJAYA BANK"/>
        <s v="STATE BANK OF INDIA"/>
        <s v="CATHOLIC SYRIAN BANK LTD"/>
        <s v="JAMMU AND KASHMIR BANK"/>
      </sharedItems>
    </cacheField>
    <cacheField name="POS On-line" numFmtId="1">
      <sharedItems containsSemiMixedTypes="0" containsString="0" containsNumber="1" containsInteger="1" minValue="0" maxValue="613877" count="22">
        <n v="2690"/>
        <n v="14442"/>
        <n v="74383"/>
        <n v="95624"/>
        <n v="3390"/>
        <n v="18730"/>
        <n v="3669"/>
        <n v="167758"/>
        <n v="4899"/>
        <n v="11242"/>
        <n v="16192"/>
        <n v="8114"/>
        <n v="867"/>
        <n v="51303"/>
        <n v="8033"/>
        <n v="5294"/>
        <n v="56820"/>
        <n v="3879"/>
        <n v="7070"/>
        <n v="613877"/>
        <n v="0"/>
        <n v="14833"/>
      </sharedItems>
    </cacheField>
    <cacheField name="POS-CC no of transactions" numFmtId="1">
      <sharedItems containsSemiMixedTypes="0" containsString="0" containsNumber="1" containsInteger="1" minValue="0" maxValue="21245813"/>
    </cacheField>
    <cacheField name=" CC Amount of transactions (Rs. Millions)" numFmtId="164">
      <sharedItems containsString="0" containsBlank="1" containsNumber="1" minValue="0" maxValue="75460.646885180002" count="17">
        <m/>
        <n v="1121.0171496600001"/>
        <n v="815.96410775000004"/>
        <n v="848.93253047000007"/>
        <n v="0"/>
        <n v="1001.4198389200001"/>
        <n v="365.06232647000002"/>
        <n v="370.40723220000007"/>
        <n v="324.5"/>
        <n v="245.189708"/>
        <n v="1375.7339917699999"/>
        <n v="351.0193635"/>
        <n v="525.00841686000001"/>
        <n v="4.2094660800000003"/>
        <n v="307.72579123000003"/>
        <n v="75460.646885180002"/>
        <n v="749.03686000000005"/>
      </sharedItems>
    </cacheField>
    <cacheField name="Debit No. of Transactions" numFmtId="1">
      <sharedItems containsSemiMixedTypes="0" containsString="0" containsNumber="1" containsInteger="1" minValue="108195" maxValue="94602321"/>
    </cacheField>
    <cacheField name="Debit Amount of transactions_x000a_(Rs. Millions) ATM" numFmtId="164">
      <sharedItems containsSemiMixedTypes="0" containsString="0" containsNumber="1" minValue="1807.0923721400002" maxValue="1065905.2464041798"/>
    </cacheField>
    <cacheField name="Debit Amount of transactions_x000a_(Rs. Millions)POS" numFmtId="164">
      <sharedItems containsSemiMixedTypes="0" containsString="0" containsNumber="1" minValue="280.47587781999999" maxValue="139835.28102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">
  <r>
    <s v="Sr. No."/>
  </r>
  <r>
    <m/>
  </r>
  <r>
    <m/>
  </r>
  <r>
    <m/>
  </r>
  <r>
    <n v="1"/>
  </r>
  <r>
    <n v="2"/>
  </r>
  <r>
    <n v="3"/>
  </r>
  <r>
    <n v="4"/>
  </r>
  <r>
    <n v="5"/>
  </r>
  <r>
    <n v="6"/>
  </r>
  <r>
    <n v="7"/>
  </r>
  <r>
    <n v="8"/>
  </r>
  <r>
    <n v="9"/>
  </r>
  <r>
    <n v="10"/>
  </r>
  <r>
    <n v="11"/>
  </r>
  <r>
    <n v="12"/>
  </r>
  <r>
    <n v="13"/>
  </r>
  <r>
    <n v="14"/>
  </r>
  <r>
    <n v="15"/>
  </r>
  <r>
    <n v="16"/>
  </r>
  <r>
    <n v="17"/>
  </r>
  <r>
    <n v="18"/>
  </r>
  <r>
    <n v="19"/>
  </r>
  <r>
    <n v="20"/>
  </r>
  <r>
    <n v="21"/>
  </r>
  <r>
    <n v="22"/>
  </r>
  <r>
    <n v="23"/>
  </r>
  <r>
    <n v="24"/>
  </r>
  <r>
    <n v="25"/>
  </r>
  <r>
    <n v="26"/>
  </r>
  <r>
    <n v="27"/>
  </r>
  <r>
    <n v="28"/>
  </r>
  <r>
    <n v="29"/>
  </r>
  <r>
    <n v="30"/>
  </r>
  <r>
    <n v="31"/>
  </r>
  <r>
    <n v="32"/>
  </r>
  <r>
    <n v="33"/>
  </r>
  <r>
    <n v="34"/>
  </r>
  <r>
    <n v="35"/>
  </r>
  <r>
    <n v="36"/>
  </r>
  <r>
    <n v="37"/>
  </r>
  <r>
    <n v="38"/>
  </r>
  <r>
    <n v="39"/>
  </r>
  <r>
    <n v="40"/>
  </r>
  <r>
    <n v="41"/>
  </r>
  <r>
    <n v="42"/>
  </r>
  <r>
    <n v="43"/>
  </r>
  <r>
    <n v="44"/>
  </r>
  <r>
    <n v="45"/>
  </r>
  <r>
    <n v="46"/>
  </r>
  <r>
    <n v="47"/>
  </r>
  <r>
    <n v="48"/>
  </r>
  <r>
    <n v="49"/>
  </r>
  <r>
    <n v="50"/>
  </r>
  <r>
    <n v="51"/>
  </r>
  <r>
    <n v="52"/>
  </r>
  <r>
    <n v="53"/>
  </r>
  <r>
    <n v="54"/>
  </r>
  <r>
    <n v="55"/>
  </r>
  <r>
    <n v="56"/>
  </r>
  <r>
    <n v="57"/>
  </r>
  <r>
    <n v="58"/>
  </r>
  <r>
    <n v="59"/>
  </r>
  <r>
    <n v="60"/>
  </r>
  <r>
    <n v="61"/>
  </r>
  <r>
    <n v="62"/>
  </r>
  <r>
    <n v="63"/>
  </r>
  <r>
    <n v="64"/>
  </r>
  <r>
    <n v="65"/>
  </r>
  <r>
    <n v="66"/>
  </r>
  <r>
    <m/>
  </r>
  <r>
    <s v="Note: Data pertaining to Payment Banks and Small Finance Banks, as reported by them, have been included from April 2018."/>
  </r>
  <r>
    <n v="1"/>
  </r>
  <r>
    <n v="2"/>
  </r>
  <r>
    <n v="3"/>
  </r>
  <r>
    <n v="4"/>
  </r>
  <r>
    <n v="5"/>
  </r>
  <r>
    <n v="6"/>
  </r>
  <r>
    <n v="7"/>
  </r>
  <r>
    <n v="8"/>
  </r>
  <r>
    <n v="9"/>
  </r>
  <r>
    <n v="10"/>
  </r>
  <r>
    <n v="11"/>
  </r>
  <r>
    <n v="12"/>
  </r>
  <r>
    <n v="13"/>
  </r>
  <r>
    <n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">
  <r>
    <n v="1"/>
    <x v="0"/>
    <x v="0"/>
    <n v="0"/>
    <x v="0"/>
    <n v="3904263"/>
    <n v="20372.243236950002"/>
    <n v="2905.1520976799998"/>
  </r>
  <r>
    <n v="2"/>
    <x v="1"/>
    <x v="1"/>
    <n v="449151"/>
    <x v="1"/>
    <n v="6006549"/>
    <n v="30571.39414"/>
    <n v="7871.3"/>
  </r>
  <r>
    <n v="3"/>
    <x v="2"/>
    <x v="2"/>
    <n v="332833"/>
    <x v="2"/>
    <n v="13724789"/>
    <n v="81694.049961309996"/>
    <n v="12855.201977129998"/>
  </r>
  <r>
    <n v="4"/>
    <x v="3"/>
    <x v="3"/>
    <n v="311259"/>
    <x v="3"/>
    <n v="10575267"/>
    <n v="69929.61648112"/>
    <n v="9539.9268873900019"/>
  </r>
  <r>
    <n v="5"/>
    <x v="4"/>
    <x v="4"/>
    <n v="0"/>
    <x v="4"/>
    <n v="3856733"/>
    <n v="24883.883351650002"/>
    <n v="4357.0583841600001"/>
  </r>
  <r>
    <n v="6"/>
    <x v="5"/>
    <x v="5"/>
    <n v="447057"/>
    <x v="5"/>
    <n v="9594374"/>
    <n v="90743.181060209987"/>
    <n v="13474.50745049"/>
  </r>
  <r>
    <n v="7"/>
    <x v="6"/>
    <x v="6"/>
    <n v="160891"/>
    <x v="6"/>
    <n v="4758352"/>
    <n v="48487.036828999997"/>
    <n v="6253.5093382499999"/>
  </r>
  <r>
    <n v="8"/>
    <x v="7"/>
    <x v="7"/>
    <n v="148165"/>
    <x v="7"/>
    <n v="3465651"/>
    <n v="29139.957352810001"/>
    <n v="4263.15175447"/>
  </r>
  <r>
    <n v="9"/>
    <x v="8"/>
    <x v="8"/>
    <n v="0"/>
    <x v="4"/>
    <n v="1630592"/>
    <n v="17002.39862244"/>
    <n v="2149.7285320200003"/>
  </r>
  <r>
    <n v="10"/>
    <x v="9"/>
    <x v="9"/>
    <n v="143732"/>
    <x v="8"/>
    <n v="5500367"/>
    <n v="70803.7"/>
    <n v="6134.4"/>
  </r>
  <r>
    <n v="11"/>
    <x v="10"/>
    <x v="10"/>
    <n v="101468"/>
    <x v="9"/>
    <n v="4217806"/>
    <n v="42746.436199999996"/>
    <n v="5606.1768110000003"/>
  </r>
  <r>
    <n v="12"/>
    <x v="11"/>
    <x v="11"/>
    <n v="0"/>
    <x v="4"/>
    <n v="2764689"/>
    <n v="22225.612280000001"/>
    <n v="3365.50684"/>
  </r>
  <r>
    <n v="13"/>
    <x v="12"/>
    <x v="12"/>
    <n v="0"/>
    <x v="4"/>
    <n v="361191"/>
    <n v="4928.0072440000004"/>
    <n v="566.68785400000002"/>
  </r>
  <r>
    <n v="14"/>
    <x v="13"/>
    <x v="13"/>
    <n v="622970"/>
    <x v="10"/>
    <n v="12356094"/>
    <n v="103429.44941928"/>
    <n v="16581.538336090001"/>
  </r>
  <r>
    <n v="15"/>
    <x v="14"/>
    <x v="14"/>
    <n v="153602"/>
    <x v="11"/>
    <n v="4012896"/>
    <n v="32874.429077000001"/>
    <n v="4863.2305420000002"/>
  </r>
  <r>
    <n v="16"/>
    <x v="15"/>
    <x v="15"/>
    <n v="0"/>
    <x v="4"/>
    <n v="2294830"/>
    <n v="20874.672485999999"/>
    <n v="3193.5899380000001"/>
  </r>
  <r>
    <n v="17"/>
    <x v="16"/>
    <x v="16"/>
    <n v="193453"/>
    <x v="12"/>
    <n v="6326398"/>
    <n v="77098.020136000006"/>
    <n v="7803.76190993"/>
  </r>
  <r>
    <n v="18"/>
    <x v="17"/>
    <x v="17"/>
    <n v="2207"/>
    <x v="13"/>
    <n v="1690005"/>
    <n v="25958.571356"/>
    <n v="2311.1016979999999"/>
  </r>
  <r>
    <n v="19"/>
    <x v="18"/>
    <x v="18"/>
    <n v="190006"/>
    <x v="14"/>
    <n v="1892729"/>
    <n v="18629.100988999999"/>
    <n v="2940.5162559999999"/>
  </r>
  <r>
    <n v="21"/>
    <x v="19"/>
    <x v="19"/>
    <n v="21245813"/>
    <x v="15"/>
    <n v="94602321"/>
    <n v="1065905.2464041798"/>
    <n v="139835.28102996"/>
  </r>
  <r>
    <n v="24"/>
    <x v="20"/>
    <x v="20"/>
    <n v="0"/>
    <x v="4"/>
    <n v="153109"/>
    <n v="1807.0923721400002"/>
    <n v="280.47587781999999"/>
  </r>
  <r>
    <n v="33"/>
    <x v="21"/>
    <x v="21"/>
    <n v="200006"/>
    <x v="16"/>
    <n v="108195"/>
    <n v="24381.071397"/>
    <n v="305.480775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B28" firstHeaderRow="1" firstDataRow="1" firstDataCol="1"/>
  <pivotFields count="8">
    <pivotField showAll="0"/>
    <pivotField axis="axisRow" showAll="0" measureFilter="1" sortType="descending" defaultSubtotal="0">
      <items count="22">
        <item x="0"/>
        <item x="1"/>
        <item x="2"/>
        <item x="3"/>
        <item x="4"/>
        <item x="5"/>
        <item x="20"/>
        <item x="6"/>
        <item x="7"/>
        <item x="8"/>
        <item x="9"/>
        <item x="10"/>
        <item x="21"/>
        <item x="11"/>
        <item x="12"/>
        <item x="13"/>
        <item x="19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showAll="0"/>
    <pivotField numFmtId="1" showAll="0"/>
    <pivotField numFmtId="164" showAll="0"/>
    <pivotField dataField="1" numFmtId="164" showAll="0"/>
  </pivotFields>
  <rowFields count="1">
    <field x="1"/>
  </rowFields>
  <rowItems count="11">
    <i>
      <x v="16"/>
    </i>
    <i>
      <x v="15"/>
    </i>
    <i>
      <x v="5"/>
    </i>
    <i>
      <x v="2"/>
    </i>
    <i>
      <x v="3"/>
    </i>
    <i>
      <x v="1"/>
    </i>
    <i>
      <x v="19"/>
    </i>
    <i>
      <x v="7"/>
    </i>
    <i>
      <x v="10"/>
    </i>
    <i>
      <x v="11"/>
    </i>
    <i t="grand">
      <x/>
    </i>
  </rowItems>
  <colItems count="1">
    <i/>
  </colItems>
  <dataFields count="1">
    <dataField name="Sum of Debit Amount of transactions_x000a_(Rs. Millions)POS" fld="7" baseField="0" baseItem="0" numFmtId="3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2">
  <location ref="A3:B14" firstHeaderRow="1" firstDataRow="1" firstDataCol="1"/>
  <pivotFields count="8">
    <pivotField compact="0" outline="0" showAll="0"/>
    <pivotField axis="axisRow" compact="0" outline="0" multipleItemSelectionAllowed="1" showAll="0" measureFilter="1" sortType="descending">
      <items count="23">
        <item x="18"/>
        <item x="17"/>
        <item x="16"/>
        <item x="15"/>
        <item x="14"/>
        <item x="19"/>
        <item x="13"/>
        <item x="12"/>
        <item x="11"/>
        <item x="21"/>
        <item x="10"/>
        <item x="9"/>
        <item x="8"/>
        <item x="7"/>
        <item x="6"/>
        <item x="20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64" outline="0" showAll="0"/>
    <pivotField compact="0" numFmtId="164" outline="0" showAll="0"/>
  </pivotFields>
  <rowFields count="1">
    <field x="1"/>
  </rowFields>
  <rowItems count="11">
    <i>
      <x v="5"/>
    </i>
    <i>
      <x v="6"/>
    </i>
    <i>
      <x v="20"/>
    </i>
    <i>
      <x v="16"/>
    </i>
    <i>
      <x v="18"/>
    </i>
    <i>
      <x v="19"/>
    </i>
    <i>
      <x v="9"/>
    </i>
    <i>
      <x v="2"/>
    </i>
    <i>
      <x v="13"/>
    </i>
    <i>
      <x v="14"/>
    </i>
    <i t="grand">
      <x/>
    </i>
  </rowItems>
  <colItems count="1">
    <i/>
  </colItems>
  <dataFields count="1">
    <dataField name="Sum of  CC Amount of transactions (Rs. Millions)" fld="4" baseField="1" baseItem="0" numFmtId="3"/>
  </dataFields>
  <formats count="2">
    <format dxfId="29">
      <pivotArea dataOnly="0" labelOnly="1" outline="0" axis="axisValues" fieldPosition="0"/>
    </format>
    <format dxfId="28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91:D108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W20:Y67" totalsRowShown="0" tableBorderDxfId="33">
  <autoFilter ref="W20:Y67"/>
  <sortState ref="W21:Y67">
    <sortCondition descending="1" ref="Y20:Y67"/>
  </sortState>
  <tableColumns count="3">
    <tableColumn id="1" name="Bank Name" dataDxfId="32"/>
    <tableColumn id="2" name="CC-POS" dataDxfId="31" dataCellStyle="Comma"/>
    <tableColumn id="3" name="DC-POS" dataDxfId="3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Y1:AD23" totalsRowShown="0" headerRowDxfId="27" dataDxfId="26" tableBorderDxfId="25" headerRowCellStyle="Comma" dataCellStyle="Comma">
  <autoFilter ref="Y1:AD23"/>
  <tableColumns count="6">
    <tableColumn id="1" name="Sr. No." dataDxfId="24" dataCellStyle="Comma"/>
    <tableColumn id="2" name="Bank Name" dataDxfId="23" dataCellStyle="Comma"/>
    <tableColumn id="3" name="POS On-line" dataDxfId="22" dataCellStyle="Comma"/>
    <tableColumn id="5" name=" CC Value of transactions (Rs. Millions)" dataDxfId="21" dataCellStyle="Comma"/>
    <tableColumn id="7" name="Debit Value of transactions_x000a_(Rs. Millions) ATM" dataDxfId="20" dataCellStyle="Comma"/>
    <tableColumn id="8" name="Debit Value of transactions_x000a_(Rs. Millions)POS" dataDxfId="19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A58:AF82" totalsRowShown="0" dataDxfId="18" tableBorderDxfId="17">
  <autoFilter ref="AA58:AF82"/>
  <tableColumns count="6">
    <tableColumn id="1" name="Bank Name" dataDxfId="16"/>
    <tableColumn id="2" name="POS On-line" dataDxfId="15"/>
    <tableColumn id="3" name="CC-ATM value of transactions" dataDxfId="14"/>
    <tableColumn id="4" name="CC-POS value of transactions" dataDxfId="13"/>
    <tableColumn id="5" name="DC-ATM value of transactions" dataDxfId="12"/>
    <tableColumn id="6" name="DC-POS value of transactions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J1:AL50" totalsRowShown="0" headerRowDxfId="10" tableBorderDxfId="9">
  <autoFilter ref="AJ1:AL50"/>
  <sortState ref="AJ2:AL50">
    <sortCondition descending="1" ref="AK1:AK50"/>
  </sortState>
  <tableColumns count="3">
    <tableColumn id="1" name="Banks" dataDxfId="8"/>
    <tableColumn id="2" name="CC-POS" dataDxfId="7" dataCellStyle="Comma"/>
    <tableColumn id="3" name="DC-POS" dataDxfId="6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G2:J51" totalsRowShown="0" tableBorderDxfId="5">
  <autoFilter ref="G2:J51"/>
  <sortState ref="G3:J51">
    <sortCondition descending="1" ref="H2:H51"/>
  </sortState>
  <tableColumns count="4">
    <tableColumn id="1" name="Bank Name" dataDxfId="4"/>
    <tableColumn id="2" name="POS Amount/DC issued"/>
    <tableColumn id="3" name="total/dc"/>
    <tableColumn id="4" name="%increase DC" dataDxfId="3" dataCellStyle="Percent">
      <calculatedColumnFormula>(I3-H3)/H3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A2:D51" totalsRowShown="0" tableBorderDxfId="2">
  <autoFilter ref="A2:D51"/>
  <sortState ref="A3:D51">
    <sortCondition descending="1" ref="B2:B51"/>
  </sortState>
  <tableColumns count="4">
    <tableColumn id="1" name="Bank Name" dataDxfId="1"/>
    <tableColumn id="2" name="POS Amount/CC issued"/>
    <tableColumn id="3" name="TOTAL/CC"/>
    <tableColumn id="4" name="% increase CC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javascript:void(0);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5"/>
  <sheetViews>
    <sheetView tabSelected="1" workbookViewId="0">
      <selection activeCell="C65" sqref="C65"/>
    </sheetView>
  </sheetViews>
  <sheetFormatPr defaultRowHeight="12.5" x14ac:dyDescent="0.25"/>
  <cols>
    <col min="1" max="1" width="25.6328125" customWidth="1"/>
    <col min="2" max="2" width="47.81640625" customWidth="1"/>
    <col min="3" max="3" width="37.6328125" customWidth="1"/>
    <col min="4" max="4" width="37.6328125" bestFit="1" customWidth="1"/>
    <col min="7" max="7" width="22.90625" customWidth="1"/>
    <col min="8" max="8" width="49.90625" bestFit="1" customWidth="1"/>
  </cols>
  <sheetData>
    <row r="3" spans="1:8" x14ac:dyDescent="0.25">
      <c r="A3" s="59" t="s">
        <v>1</v>
      </c>
      <c r="B3" s="81" t="s">
        <v>210</v>
      </c>
    </row>
    <row r="4" spans="1:8" x14ac:dyDescent="0.25">
      <c r="A4" t="s">
        <v>33</v>
      </c>
      <c r="B4" s="80">
        <v>75460.646885180002</v>
      </c>
    </row>
    <row r="5" spans="1:8" x14ac:dyDescent="0.25">
      <c r="A5" t="s">
        <v>27</v>
      </c>
      <c r="B5" s="80">
        <v>1375.7339917699999</v>
      </c>
    </row>
    <row r="6" spans="1:8" x14ac:dyDescent="0.25">
      <c r="A6" t="s">
        <v>16</v>
      </c>
      <c r="B6" s="80">
        <v>1121.0171496600001</v>
      </c>
    </row>
    <row r="7" spans="1:8" x14ac:dyDescent="0.25">
      <c r="A7" t="s">
        <v>20</v>
      </c>
      <c r="B7" s="80">
        <v>1001.4198389200001</v>
      </c>
      <c r="G7" s="60"/>
      <c r="H7" s="61"/>
    </row>
    <row r="8" spans="1:8" x14ac:dyDescent="0.25">
      <c r="A8" t="s">
        <v>18</v>
      </c>
      <c r="B8" s="80">
        <v>848.93253047000007</v>
      </c>
      <c r="G8" s="60"/>
      <c r="H8" s="61"/>
    </row>
    <row r="9" spans="1:8" x14ac:dyDescent="0.25">
      <c r="A9" t="s">
        <v>17</v>
      </c>
      <c r="B9" s="80">
        <v>815.96410775000004</v>
      </c>
      <c r="G9" s="60"/>
      <c r="H9" s="61"/>
    </row>
    <row r="10" spans="1:8" x14ac:dyDescent="0.25">
      <c r="A10" t="s">
        <v>45</v>
      </c>
      <c r="B10" s="80">
        <v>749.03686000000005</v>
      </c>
      <c r="G10" s="60"/>
      <c r="H10" s="61"/>
    </row>
    <row r="11" spans="1:8" x14ac:dyDescent="0.25">
      <c r="A11" t="s">
        <v>30</v>
      </c>
      <c r="B11" s="80">
        <v>525.00841686000001</v>
      </c>
      <c r="G11" s="60"/>
      <c r="H11" s="61"/>
    </row>
    <row r="12" spans="1:8" x14ac:dyDescent="0.25">
      <c r="A12" t="s">
        <v>22</v>
      </c>
      <c r="B12" s="80">
        <v>370.40723220000007</v>
      </c>
      <c r="G12" s="60"/>
      <c r="H12" s="61"/>
    </row>
    <row r="13" spans="1:8" x14ac:dyDescent="0.25">
      <c r="A13" t="s">
        <v>21</v>
      </c>
      <c r="B13" s="80">
        <v>365.06232647000002</v>
      </c>
      <c r="G13" s="60"/>
      <c r="H13" s="61"/>
    </row>
    <row r="14" spans="1:8" x14ac:dyDescent="0.25">
      <c r="A14" t="s">
        <v>205</v>
      </c>
      <c r="B14" s="80">
        <v>82633.229339279991</v>
      </c>
      <c r="G14" s="60"/>
      <c r="H14" s="61"/>
    </row>
    <row r="15" spans="1:8" x14ac:dyDescent="0.25">
      <c r="G15" s="60"/>
      <c r="H15" s="61"/>
    </row>
    <row r="16" spans="1:8" x14ac:dyDescent="0.25">
      <c r="G16" s="60"/>
      <c r="H16" s="61"/>
    </row>
    <row r="17" spans="1:8" x14ac:dyDescent="0.25">
      <c r="A17" s="59" t="s">
        <v>204</v>
      </c>
      <c r="B17" t="s">
        <v>215</v>
      </c>
      <c r="G17" s="60"/>
      <c r="H17" s="61"/>
    </row>
    <row r="18" spans="1:8" x14ac:dyDescent="0.25">
      <c r="A18" s="60" t="s">
        <v>33</v>
      </c>
      <c r="B18" s="80">
        <v>139835.28102996</v>
      </c>
    </row>
    <row r="19" spans="1:8" x14ac:dyDescent="0.25">
      <c r="A19" s="60" t="s">
        <v>27</v>
      </c>
      <c r="B19" s="80">
        <v>16581.538336090001</v>
      </c>
    </row>
    <row r="20" spans="1:8" x14ac:dyDescent="0.25">
      <c r="A20" s="60" t="s">
        <v>20</v>
      </c>
      <c r="B20" s="80">
        <v>13474.50745049</v>
      </c>
    </row>
    <row r="21" spans="1:8" x14ac:dyDescent="0.25">
      <c r="A21" s="60" t="s">
        <v>17</v>
      </c>
      <c r="B21" s="80">
        <v>12855.201977129998</v>
      </c>
    </row>
    <row r="22" spans="1:8" x14ac:dyDescent="0.25">
      <c r="A22" s="60" t="s">
        <v>18</v>
      </c>
      <c r="B22" s="80">
        <v>9539.9268873900019</v>
      </c>
    </row>
    <row r="23" spans="1:8" x14ac:dyDescent="0.25">
      <c r="A23" s="60" t="s">
        <v>16</v>
      </c>
      <c r="B23" s="80">
        <v>7871.3</v>
      </c>
    </row>
    <row r="24" spans="1:8" x14ac:dyDescent="0.25">
      <c r="A24" s="60" t="s">
        <v>30</v>
      </c>
      <c r="B24" s="80">
        <v>7803.76190993</v>
      </c>
    </row>
    <row r="25" spans="1:8" x14ac:dyDescent="0.25">
      <c r="A25" s="60" t="s">
        <v>21</v>
      </c>
      <c r="B25" s="80">
        <v>6253.5093382499999</v>
      </c>
    </row>
    <row r="26" spans="1:8" x14ac:dyDescent="0.25">
      <c r="A26" s="60" t="s">
        <v>23</v>
      </c>
      <c r="B26" s="80">
        <v>6134.4</v>
      </c>
    </row>
    <row r="27" spans="1:8" x14ac:dyDescent="0.25">
      <c r="A27" s="60" t="s">
        <v>24</v>
      </c>
      <c r="B27" s="80">
        <v>5606.1768110000003</v>
      </c>
    </row>
    <row r="28" spans="1:8" x14ac:dyDescent="0.25">
      <c r="A28" s="60" t="s">
        <v>205</v>
      </c>
      <c r="B28" s="80">
        <v>225955.60374024001</v>
      </c>
    </row>
    <row r="65" spans="3:3" x14ac:dyDescent="0.25">
      <c r="C65" t="s">
        <v>220</v>
      </c>
    </row>
  </sheetData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92"/>
  <sheetViews>
    <sheetView topLeftCell="V11" zoomScale="90" zoomScaleNormal="90" workbookViewId="0">
      <selection activeCell="AA19" sqref="AA19"/>
    </sheetView>
  </sheetViews>
  <sheetFormatPr defaultColWidth="9.1796875" defaultRowHeight="12.5" x14ac:dyDescent="0.25"/>
  <cols>
    <col min="1" max="1" width="2.453125" style="8" customWidth="1"/>
    <col min="2" max="2" width="7.54296875" style="8" customWidth="1"/>
    <col min="3" max="3" width="41.81640625" style="8" customWidth="1"/>
    <col min="4" max="4" width="16.36328125" style="8" customWidth="1"/>
    <col min="5" max="5" width="10.7265625" style="8" customWidth="1"/>
    <col min="6" max="6" width="23" style="8" customWidth="1"/>
    <col min="7" max="7" width="8.7265625" style="8" customWidth="1"/>
    <col min="8" max="8" width="15.453125" style="8" customWidth="1"/>
    <col min="9" max="9" width="10.7265625" style="8" customWidth="1"/>
    <col min="10" max="10" width="12.453125" style="8" customWidth="1"/>
    <col min="11" max="11" width="11.7265625" style="8" customWidth="1"/>
    <col min="12" max="12" width="11.81640625" style="8" customWidth="1"/>
    <col min="13" max="13" width="21.54296875" style="8" customWidth="1"/>
    <col min="14" max="14" width="22.7265625" style="8" customWidth="1"/>
    <col min="15" max="15" width="22.1796875" style="8" customWidth="1"/>
    <col min="16" max="16" width="12.7265625" style="8" customWidth="1"/>
    <col min="17" max="17" width="11.1796875" style="8" customWidth="1"/>
    <col min="18" max="18" width="9.1796875" style="8"/>
    <col min="19" max="19" width="13.7265625" style="8" customWidth="1"/>
    <col min="20" max="21" width="9.1796875" style="8"/>
    <col min="22" max="22" width="21.6328125" style="8" customWidth="1"/>
    <col min="23" max="23" width="30.81640625" style="8" customWidth="1"/>
    <col min="24" max="24" width="20.7265625" style="97" customWidth="1"/>
    <col min="25" max="25" width="18.26953125" style="102" customWidth="1"/>
    <col min="26" max="26" width="13.7265625" style="8" customWidth="1"/>
    <col min="27" max="27" width="13.453125" style="8" customWidth="1"/>
    <col min="28" max="28" width="19.1796875" style="8" customWidth="1"/>
    <col min="29" max="29" width="13.1796875" style="8" customWidth="1"/>
    <col min="30" max="30" width="16.90625" style="8" customWidth="1"/>
    <col min="31" max="31" width="9.1796875" style="8"/>
    <col min="32" max="32" width="17.90625" style="8" customWidth="1"/>
    <col min="33" max="33" width="15" style="8" customWidth="1"/>
    <col min="34" max="34" width="22.1796875" style="8" customWidth="1"/>
    <col min="35" max="35" width="15.81640625" style="8" customWidth="1"/>
    <col min="36" max="36" width="15.36328125" style="8" customWidth="1"/>
    <col min="37" max="37" width="12.81640625" style="8" customWidth="1"/>
    <col min="38" max="16384" width="9.1796875" style="8"/>
  </cols>
  <sheetData>
    <row r="2" spans="2:37" ht="13" x14ac:dyDescent="0.25">
      <c r="B2" s="131" t="s">
        <v>94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</row>
    <row r="3" spans="2:37" ht="13" x14ac:dyDescent="0.25">
      <c r="B3" s="131" t="s">
        <v>0</v>
      </c>
      <c r="C3" s="131" t="s">
        <v>1</v>
      </c>
      <c r="D3" s="138" t="s">
        <v>2</v>
      </c>
      <c r="E3" s="153"/>
      <c r="F3" s="138" t="s">
        <v>3</v>
      </c>
      <c r="G3" s="153"/>
      <c r="H3" s="131" t="s">
        <v>4</v>
      </c>
      <c r="I3" s="154"/>
      <c r="J3" s="154"/>
      <c r="K3" s="154"/>
      <c r="L3" s="154"/>
      <c r="M3" s="131" t="s">
        <v>5</v>
      </c>
      <c r="N3" s="154"/>
      <c r="O3" s="154"/>
      <c r="P3" s="154"/>
      <c r="Q3" s="154"/>
      <c r="V3" s="139" t="s">
        <v>0</v>
      </c>
      <c r="W3" s="139" t="s">
        <v>1</v>
      </c>
      <c r="X3" s="142" t="s">
        <v>2</v>
      </c>
      <c r="Y3" s="143"/>
      <c r="Z3" s="142" t="s">
        <v>3</v>
      </c>
      <c r="AA3" s="143"/>
      <c r="AB3" s="150" t="s">
        <v>4</v>
      </c>
      <c r="AC3" s="151"/>
      <c r="AD3" s="151"/>
      <c r="AE3" s="151"/>
      <c r="AF3" s="152"/>
      <c r="AG3" s="150" t="s">
        <v>5</v>
      </c>
      <c r="AH3" s="151"/>
      <c r="AI3" s="151"/>
      <c r="AJ3" s="151"/>
      <c r="AK3" s="152"/>
    </row>
    <row r="4" spans="2:37" ht="48.75" customHeight="1" x14ac:dyDescent="0.25">
      <c r="B4" s="131"/>
      <c r="C4" s="131"/>
      <c r="D4" s="138" t="s">
        <v>6</v>
      </c>
      <c r="E4" s="138" t="s">
        <v>7</v>
      </c>
      <c r="F4" s="138" t="s">
        <v>8</v>
      </c>
      <c r="G4" s="138" t="s">
        <v>9</v>
      </c>
      <c r="H4" s="138" t="s">
        <v>10</v>
      </c>
      <c r="I4" s="138" t="s">
        <v>11</v>
      </c>
      <c r="J4" s="154"/>
      <c r="K4" s="155" t="s">
        <v>12</v>
      </c>
      <c r="L4" s="156"/>
      <c r="M4" s="138" t="s">
        <v>10</v>
      </c>
      <c r="N4" s="138" t="s">
        <v>13</v>
      </c>
      <c r="O4" s="153"/>
      <c r="P4" s="155" t="s">
        <v>12</v>
      </c>
      <c r="Q4" s="156"/>
      <c r="V4" s="140"/>
      <c r="W4" s="140"/>
      <c r="X4" s="146" t="s">
        <v>6</v>
      </c>
      <c r="Y4" s="146" t="s">
        <v>7</v>
      </c>
      <c r="Z4" s="148" t="s">
        <v>8</v>
      </c>
      <c r="AA4" s="148" t="s">
        <v>9</v>
      </c>
      <c r="AB4" s="148" t="s">
        <v>10</v>
      </c>
      <c r="AC4" s="142" t="s">
        <v>11</v>
      </c>
      <c r="AD4" s="143"/>
      <c r="AE4" s="144" t="s">
        <v>12</v>
      </c>
      <c r="AF4" s="145"/>
      <c r="AG4" s="148" t="s">
        <v>10</v>
      </c>
      <c r="AH4" s="142" t="s">
        <v>13</v>
      </c>
      <c r="AI4" s="143"/>
      <c r="AJ4" s="144" t="s">
        <v>12</v>
      </c>
      <c r="AK4" s="145"/>
    </row>
    <row r="5" spans="2:37" ht="18" customHeight="1" x14ac:dyDescent="0.25">
      <c r="B5" s="131"/>
      <c r="C5" s="131"/>
      <c r="D5" s="138"/>
      <c r="E5" s="138"/>
      <c r="F5" s="138"/>
      <c r="G5" s="138"/>
      <c r="H5" s="138"/>
      <c r="I5" s="83" t="s">
        <v>14</v>
      </c>
      <c r="J5" s="83" t="s">
        <v>3</v>
      </c>
      <c r="K5" s="1" t="s">
        <v>14</v>
      </c>
      <c r="L5" s="1" t="s">
        <v>3</v>
      </c>
      <c r="M5" s="138"/>
      <c r="N5" s="83" t="s">
        <v>14</v>
      </c>
      <c r="O5" s="83" t="s">
        <v>3</v>
      </c>
      <c r="P5" s="2" t="s">
        <v>14</v>
      </c>
      <c r="Q5" s="2" t="s">
        <v>3</v>
      </c>
      <c r="V5" s="140"/>
      <c r="W5" s="140"/>
      <c r="X5" s="147"/>
      <c r="Y5" s="147"/>
      <c r="Z5" s="149"/>
      <c r="AA5" s="149"/>
      <c r="AB5" s="149"/>
      <c r="AC5" s="83" t="s">
        <v>14</v>
      </c>
      <c r="AD5" s="83" t="s">
        <v>3</v>
      </c>
      <c r="AE5" s="1" t="s">
        <v>14</v>
      </c>
      <c r="AF5" s="1" t="s">
        <v>3</v>
      </c>
      <c r="AG5" s="149"/>
      <c r="AH5" s="83" t="s">
        <v>14</v>
      </c>
      <c r="AI5" s="83" t="s">
        <v>3</v>
      </c>
      <c r="AJ5" s="2" t="s">
        <v>14</v>
      </c>
      <c r="AK5" s="2" t="s">
        <v>3</v>
      </c>
    </row>
    <row r="6" spans="2:37" ht="13" x14ac:dyDescent="0.25">
      <c r="B6" s="131"/>
      <c r="C6" s="131"/>
      <c r="D6" s="83">
        <v>1</v>
      </c>
      <c r="E6" s="83">
        <v>2</v>
      </c>
      <c r="F6" s="83">
        <v>3</v>
      </c>
      <c r="G6" s="83">
        <v>4</v>
      </c>
      <c r="H6" s="83">
        <v>5</v>
      </c>
      <c r="I6" s="83">
        <v>6</v>
      </c>
      <c r="J6" s="83">
        <v>7</v>
      </c>
      <c r="K6" s="2">
        <v>8</v>
      </c>
      <c r="L6" s="2">
        <v>9</v>
      </c>
      <c r="M6" s="83">
        <v>10</v>
      </c>
      <c r="N6" s="83">
        <v>11</v>
      </c>
      <c r="O6" s="83">
        <v>12</v>
      </c>
      <c r="P6" s="2">
        <v>13</v>
      </c>
      <c r="Q6" s="2">
        <v>14</v>
      </c>
      <c r="V6" s="141"/>
      <c r="W6" s="141"/>
      <c r="X6" s="98">
        <v>1</v>
      </c>
      <c r="Y6" s="98">
        <v>2</v>
      </c>
      <c r="Z6" s="83">
        <v>3</v>
      </c>
      <c r="AA6" s="83">
        <v>4</v>
      </c>
      <c r="AB6" s="83">
        <v>5</v>
      </c>
      <c r="AC6" s="83">
        <v>6</v>
      </c>
      <c r="AD6" s="83">
        <v>7</v>
      </c>
      <c r="AE6" s="2">
        <v>8</v>
      </c>
      <c r="AF6" s="2">
        <v>9</v>
      </c>
      <c r="AG6" s="83">
        <v>10</v>
      </c>
      <c r="AH6" s="83">
        <v>11</v>
      </c>
      <c r="AI6" s="83">
        <v>12</v>
      </c>
      <c r="AJ6" s="2">
        <v>13</v>
      </c>
      <c r="AK6" s="2">
        <v>14</v>
      </c>
    </row>
    <row r="7" spans="2:37" x14ac:dyDescent="0.25">
      <c r="B7" s="3">
        <v>1</v>
      </c>
      <c r="C7" s="4" t="s">
        <v>15</v>
      </c>
      <c r="D7" s="20">
        <v>663</v>
      </c>
      <c r="E7" s="20">
        <v>199</v>
      </c>
      <c r="F7" s="20">
        <v>3059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5722168</v>
      </c>
      <c r="N7" s="20">
        <v>9356089</v>
      </c>
      <c r="O7" s="20">
        <v>3250179</v>
      </c>
      <c r="P7" s="20">
        <v>22057.394805259999</v>
      </c>
      <c r="Q7" s="20">
        <v>3247.7893250499997</v>
      </c>
      <c r="V7" s="3">
        <v>2018</v>
      </c>
      <c r="W7" s="3" t="s">
        <v>41</v>
      </c>
      <c r="X7" s="99">
        <v>5874</v>
      </c>
      <c r="Y7" s="99">
        <v>6764</v>
      </c>
      <c r="Z7" s="86">
        <v>408770</v>
      </c>
      <c r="AA7" s="86">
        <v>0</v>
      </c>
      <c r="AB7" s="86">
        <v>10794694</v>
      </c>
      <c r="AC7" s="86">
        <v>173027</v>
      </c>
      <c r="AD7" s="86">
        <v>36781856</v>
      </c>
      <c r="AE7" s="86">
        <v>932.99281070000006</v>
      </c>
      <c r="AF7" s="86">
        <v>122059.993801</v>
      </c>
      <c r="AG7" s="86">
        <v>24537320</v>
      </c>
      <c r="AH7" s="20">
        <v>33090783</v>
      </c>
      <c r="AI7" s="20">
        <v>39690646</v>
      </c>
      <c r="AJ7" s="20">
        <v>171070.21476377003</v>
      </c>
      <c r="AK7" s="20">
        <v>56155.270790000002</v>
      </c>
    </row>
    <row r="8" spans="2:37" x14ac:dyDescent="0.25">
      <c r="B8" s="3">
        <v>2</v>
      </c>
      <c r="C8" s="4" t="s">
        <v>16</v>
      </c>
      <c r="D8" s="20">
        <v>3023</v>
      </c>
      <c r="E8" s="20">
        <v>774</v>
      </c>
      <c r="F8" s="20">
        <v>13777</v>
      </c>
      <c r="G8" s="20">
        <v>0</v>
      </c>
      <c r="H8" s="20">
        <v>301979</v>
      </c>
      <c r="I8" s="20">
        <v>11790</v>
      </c>
      <c r="J8" s="20">
        <v>594667</v>
      </c>
      <c r="K8" s="20">
        <v>56.52457914</v>
      </c>
      <c r="L8" s="20">
        <v>1438.7442320600003</v>
      </c>
      <c r="M8" s="20">
        <v>28604273</v>
      </c>
      <c r="N8" s="20">
        <v>9745000</v>
      </c>
      <c r="O8" s="20">
        <v>6948815</v>
      </c>
      <c r="P8" s="20">
        <v>33779.454582999999</v>
      </c>
      <c r="Q8" s="20">
        <v>8832.7422572300002</v>
      </c>
      <c r="V8" s="85">
        <v>2019</v>
      </c>
      <c r="W8" s="3" t="s">
        <v>41</v>
      </c>
      <c r="X8" s="99">
        <v>6069</v>
      </c>
      <c r="Y8" s="99">
        <v>7193</v>
      </c>
      <c r="Z8" s="86">
        <v>531547</v>
      </c>
      <c r="AA8" s="86">
        <v>0</v>
      </c>
      <c r="AB8" s="86">
        <v>12574139</v>
      </c>
      <c r="AC8" s="86">
        <v>180818</v>
      </c>
      <c r="AD8" s="86">
        <v>44680208</v>
      </c>
      <c r="AE8" s="86">
        <v>1035.074507</v>
      </c>
      <c r="AF8" s="86">
        <v>161032.84456200001</v>
      </c>
      <c r="AG8" s="86">
        <v>27425468</v>
      </c>
      <c r="AH8" s="20">
        <v>37099927</v>
      </c>
      <c r="AI8" s="20">
        <v>48489873</v>
      </c>
      <c r="AJ8" s="20">
        <v>191832.45587000001</v>
      </c>
      <c r="AK8" s="20">
        <v>71518.773362000007</v>
      </c>
    </row>
    <row r="9" spans="2:37" x14ac:dyDescent="0.25">
      <c r="B9" s="3">
        <v>3</v>
      </c>
      <c r="C9" s="4" t="s">
        <v>17</v>
      </c>
      <c r="D9" s="20">
        <v>9126</v>
      </c>
      <c r="E9" s="20">
        <v>3980</v>
      </c>
      <c r="F9" s="20">
        <v>79813</v>
      </c>
      <c r="G9" s="20">
        <v>0</v>
      </c>
      <c r="H9" s="20">
        <v>305936</v>
      </c>
      <c r="I9" s="20">
        <v>19455</v>
      </c>
      <c r="J9" s="20">
        <v>789597</v>
      </c>
      <c r="K9" s="20">
        <v>85.370014999999995</v>
      </c>
      <c r="L9" s="20">
        <v>1722.8972550000001</v>
      </c>
      <c r="M9" s="20">
        <v>48279337</v>
      </c>
      <c r="N9" s="20">
        <v>30539459</v>
      </c>
      <c r="O9" s="20">
        <v>16472373</v>
      </c>
      <c r="P9" s="20">
        <v>119082.92777900001</v>
      </c>
      <c r="Q9" s="20">
        <v>20235.210329000001</v>
      </c>
      <c r="V9" s="85"/>
      <c r="W9" s="85"/>
      <c r="X9" s="100"/>
      <c r="Y9" s="100" t="s">
        <v>219</v>
      </c>
      <c r="Z9" s="89">
        <f>(Z8-Z7)/Z7</f>
        <v>0.30035716906818016</v>
      </c>
      <c r="AA9" s="89"/>
      <c r="AB9" s="89"/>
      <c r="AC9" s="89"/>
      <c r="AD9" s="87">
        <f>(AD8-AD7)/AD7</f>
        <v>0.2147350041281223</v>
      </c>
      <c r="AE9" s="89"/>
      <c r="AF9" s="87">
        <f>(AF8-AF7)/AF7</f>
        <v>0.31929258348594736</v>
      </c>
      <c r="AG9" s="89"/>
      <c r="AH9" s="91"/>
      <c r="AI9" s="84">
        <f>(AI8-AI7)/AI7</f>
        <v>0.22169523267522528</v>
      </c>
      <c r="AJ9" s="91"/>
      <c r="AK9" s="84">
        <f>(AK8-AK7)/AK7</f>
        <v>0.27358968011130846</v>
      </c>
    </row>
    <row r="10" spans="2:37" x14ac:dyDescent="0.25">
      <c r="B10" s="3">
        <v>4</v>
      </c>
      <c r="C10" s="4" t="s">
        <v>18</v>
      </c>
      <c r="D10" s="20">
        <v>2643</v>
      </c>
      <c r="E10" s="20">
        <v>3511</v>
      </c>
      <c r="F10" s="20">
        <v>57313</v>
      </c>
      <c r="G10" s="20">
        <v>0</v>
      </c>
      <c r="H10" s="20">
        <v>183907</v>
      </c>
      <c r="I10" s="20">
        <v>21369</v>
      </c>
      <c r="J10" s="20">
        <v>353591</v>
      </c>
      <c r="K10" s="20">
        <v>119.72864446999999</v>
      </c>
      <c r="L10" s="20">
        <v>870.56844323999997</v>
      </c>
      <c r="M10" s="20">
        <v>36241516</v>
      </c>
      <c r="N10" s="20">
        <v>18760046</v>
      </c>
      <c r="O10" s="20">
        <v>10598907</v>
      </c>
      <c r="P10" s="20">
        <v>69156.546097279992</v>
      </c>
      <c r="Q10" s="20">
        <v>10826.374891129999</v>
      </c>
      <c r="V10" s="85"/>
      <c r="W10" s="85"/>
      <c r="X10" s="100"/>
      <c r="Y10" s="100"/>
      <c r="Z10" s="89"/>
      <c r="AA10" s="89"/>
      <c r="AB10" s="89"/>
      <c r="AC10" s="89"/>
      <c r="AD10" s="89"/>
      <c r="AE10" s="89"/>
      <c r="AF10" s="89"/>
      <c r="AG10" s="89"/>
      <c r="AH10" s="91"/>
      <c r="AI10" s="91"/>
      <c r="AJ10" s="91"/>
      <c r="AK10" s="91"/>
    </row>
    <row r="11" spans="2:37" s="14" customFormat="1" x14ac:dyDescent="0.25">
      <c r="B11" s="3">
        <v>5</v>
      </c>
      <c r="C11" s="7" t="s">
        <v>19</v>
      </c>
      <c r="D11" s="20">
        <v>1306</v>
      </c>
      <c r="E11" s="20">
        <v>554</v>
      </c>
      <c r="F11" s="20">
        <v>2350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5468285</v>
      </c>
      <c r="N11" s="20">
        <v>7375325</v>
      </c>
      <c r="O11" s="20">
        <v>4942538</v>
      </c>
      <c r="P11" s="20">
        <v>26967.141295099998</v>
      </c>
      <c r="Q11" s="20">
        <v>5141.3130000800002</v>
      </c>
      <c r="S11" s="15"/>
      <c r="V11" s="88"/>
      <c r="W11" s="88"/>
      <c r="X11" s="101"/>
      <c r="Y11" s="101"/>
      <c r="Z11" s="90"/>
      <c r="AA11" s="90"/>
      <c r="AB11" s="90"/>
      <c r="AC11" s="90"/>
      <c r="AD11" s="90"/>
      <c r="AE11" s="90"/>
      <c r="AF11" s="90"/>
      <c r="AG11" s="90"/>
      <c r="AH11" s="92"/>
      <c r="AI11" s="92"/>
      <c r="AJ11" s="92"/>
      <c r="AK11" s="92"/>
    </row>
    <row r="12" spans="2:37" x14ac:dyDescent="0.25">
      <c r="B12" s="3">
        <v>6</v>
      </c>
      <c r="C12" s="4" t="s">
        <v>20</v>
      </c>
      <c r="D12" s="20">
        <v>4770</v>
      </c>
      <c r="E12" s="20">
        <v>4085</v>
      </c>
      <c r="F12" s="20">
        <v>21764</v>
      </c>
      <c r="G12" s="20">
        <v>0</v>
      </c>
      <c r="H12" s="20">
        <v>371193</v>
      </c>
      <c r="I12" s="20">
        <v>46493</v>
      </c>
      <c r="J12" s="20">
        <v>649256</v>
      </c>
      <c r="K12" s="20">
        <v>248.13658962</v>
      </c>
      <c r="L12" s="20">
        <v>1348.38425001</v>
      </c>
      <c r="M12" s="20">
        <v>28881276</v>
      </c>
      <c r="N12" s="20">
        <v>22444834</v>
      </c>
      <c r="O12" s="20">
        <v>12707196</v>
      </c>
      <c r="P12" s="20">
        <v>97219.765003389999</v>
      </c>
      <c r="Q12" s="20">
        <v>16514.041194770001</v>
      </c>
      <c r="V12" s="3">
        <v>2018</v>
      </c>
      <c r="W12" s="3" t="s">
        <v>33</v>
      </c>
      <c r="X12" s="99">
        <v>26343</v>
      </c>
      <c r="Y12" s="99">
        <v>32949</v>
      </c>
      <c r="Z12" s="86">
        <v>613877</v>
      </c>
      <c r="AA12" s="86">
        <v>0</v>
      </c>
      <c r="AB12" s="86">
        <v>6357785</v>
      </c>
      <c r="AC12" s="86">
        <v>129941</v>
      </c>
      <c r="AD12" s="86">
        <v>21245813</v>
      </c>
      <c r="AE12" s="86">
        <v>511.29023599999999</v>
      </c>
      <c r="AF12" s="86">
        <v>75460.646885180002</v>
      </c>
      <c r="AG12" s="86">
        <v>279796198</v>
      </c>
      <c r="AH12" s="20">
        <v>362428635</v>
      </c>
      <c r="AI12" s="20">
        <v>94602321</v>
      </c>
      <c r="AJ12" s="20">
        <v>1065905.2464041798</v>
      </c>
      <c r="AK12" s="20">
        <v>139835.28102996</v>
      </c>
    </row>
    <row r="13" spans="2:37" x14ac:dyDescent="0.25">
      <c r="B13" s="3">
        <v>7</v>
      </c>
      <c r="C13" s="4" t="s">
        <v>21</v>
      </c>
      <c r="D13" s="20">
        <v>2834</v>
      </c>
      <c r="E13" s="20">
        <v>952</v>
      </c>
      <c r="F13" s="20">
        <v>3388</v>
      </c>
      <c r="G13" s="20">
        <v>0</v>
      </c>
      <c r="H13" s="20">
        <v>92570</v>
      </c>
      <c r="I13" s="20">
        <v>2254</v>
      </c>
      <c r="J13" s="20">
        <v>172607</v>
      </c>
      <c r="K13" s="20">
        <v>10.280228359999999</v>
      </c>
      <c r="L13" s="20">
        <v>370.54415143</v>
      </c>
      <c r="M13" s="20">
        <v>20859693</v>
      </c>
      <c r="N13" s="20">
        <v>11497274</v>
      </c>
      <c r="O13" s="20">
        <v>6248048</v>
      </c>
      <c r="P13" s="20">
        <v>48144.239034999999</v>
      </c>
      <c r="Q13" s="20">
        <v>7673.10592696</v>
      </c>
      <c r="V13" s="3">
        <v>19</v>
      </c>
      <c r="W13" s="3" t="s">
        <v>33</v>
      </c>
      <c r="X13" s="99">
        <v>25583</v>
      </c>
      <c r="Y13" s="99">
        <v>32885</v>
      </c>
      <c r="Z13" s="86">
        <v>580765</v>
      </c>
      <c r="AA13" s="86">
        <v>0</v>
      </c>
      <c r="AB13" s="86">
        <v>8545759</v>
      </c>
      <c r="AC13" s="86">
        <v>154499</v>
      </c>
      <c r="AD13" s="86">
        <v>26511681</v>
      </c>
      <c r="AE13" s="86">
        <v>595.23168399999997</v>
      </c>
      <c r="AF13" s="86">
        <v>94792.482470380026</v>
      </c>
      <c r="AG13" s="86">
        <v>297073038</v>
      </c>
      <c r="AH13" s="20">
        <v>382742667</v>
      </c>
      <c r="AI13" s="20">
        <v>118453038</v>
      </c>
      <c r="AJ13" s="20">
        <v>1100651.2958477901</v>
      </c>
      <c r="AK13" s="20">
        <v>164191.48264698999</v>
      </c>
    </row>
    <row r="14" spans="2:37" x14ac:dyDescent="0.25">
      <c r="B14" s="3">
        <v>8</v>
      </c>
      <c r="C14" s="4" t="s">
        <v>22</v>
      </c>
      <c r="D14" s="20">
        <v>2365</v>
      </c>
      <c r="E14" s="20">
        <v>648</v>
      </c>
      <c r="F14" s="20">
        <v>222738</v>
      </c>
      <c r="G14" s="20">
        <v>0</v>
      </c>
      <c r="H14" s="20">
        <v>110822</v>
      </c>
      <c r="I14" s="20">
        <v>2143</v>
      </c>
      <c r="J14" s="20">
        <v>169214</v>
      </c>
      <c r="K14" s="20">
        <v>10.1199514</v>
      </c>
      <c r="L14" s="20">
        <v>402.23891794000002</v>
      </c>
      <c r="M14" s="20">
        <v>7998550</v>
      </c>
      <c r="N14" s="20">
        <v>6958597</v>
      </c>
      <c r="O14" s="20">
        <v>4072890</v>
      </c>
      <c r="P14" s="20">
        <v>28850.00858351</v>
      </c>
      <c r="Q14" s="20">
        <v>4896.0695633000005</v>
      </c>
      <c r="Y14" s="102" t="s">
        <v>219</v>
      </c>
      <c r="Z14" s="87">
        <f>(Z13-Z12)/Z12</f>
        <v>-5.3939144160800943E-2</v>
      </c>
      <c r="AD14" s="84">
        <f>(AD13-AD12)/AD12</f>
        <v>0.24785438900361215</v>
      </c>
      <c r="AF14" s="84">
        <f>(AF13-AF12)/AF12</f>
        <v>0.25618433426120912</v>
      </c>
      <c r="AI14" s="84">
        <f>(AI13-AI12)/AI12</f>
        <v>0.25211555856013301</v>
      </c>
      <c r="AK14" s="84">
        <f>(AK13-AK12)/AK12</f>
        <v>0.17417780003468242</v>
      </c>
    </row>
    <row r="15" spans="2:37" x14ac:dyDescent="0.25">
      <c r="B15" s="3">
        <v>9</v>
      </c>
      <c r="C15" s="4" t="s">
        <v>23</v>
      </c>
      <c r="D15" s="20">
        <v>3166</v>
      </c>
      <c r="E15" s="20">
        <v>725</v>
      </c>
      <c r="F15" s="20">
        <v>11022</v>
      </c>
      <c r="G15" s="20">
        <v>0</v>
      </c>
      <c r="H15" s="20">
        <v>87553</v>
      </c>
      <c r="I15" s="20">
        <v>2664</v>
      </c>
      <c r="J15" s="20">
        <v>140448</v>
      </c>
      <c r="K15" s="20">
        <v>15.1</v>
      </c>
      <c r="L15" s="20">
        <v>314.60000000000002</v>
      </c>
      <c r="M15" s="20">
        <v>14395004</v>
      </c>
      <c r="N15" s="20">
        <v>34062346</v>
      </c>
      <c r="O15" s="20">
        <v>7877588</v>
      </c>
      <c r="P15" s="20">
        <v>65218.9</v>
      </c>
      <c r="Q15" s="20">
        <v>8423.6</v>
      </c>
    </row>
    <row r="16" spans="2:37" x14ac:dyDescent="0.25">
      <c r="B16" s="3">
        <v>10</v>
      </c>
      <c r="C16" s="4" t="s">
        <v>24</v>
      </c>
      <c r="D16" s="20">
        <v>2968</v>
      </c>
      <c r="E16" s="20">
        <v>466</v>
      </c>
      <c r="F16" s="20">
        <v>19750</v>
      </c>
      <c r="G16" s="20">
        <v>0</v>
      </c>
      <c r="H16" s="20">
        <v>58197</v>
      </c>
      <c r="I16" s="20">
        <v>952</v>
      </c>
      <c r="J16" s="20">
        <v>97384</v>
      </c>
      <c r="K16" s="20">
        <v>3.8055590000000001</v>
      </c>
      <c r="L16" s="20">
        <v>188.74639400000001</v>
      </c>
      <c r="M16" s="20">
        <v>16584511</v>
      </c>
      <c r="N16" s="20">
        <v>13335845</v>
      </c>
      <c r="O16" s="20">
        <v>4806176</v>
      </c>
      <c r="P16" s="20">
        <v>56373.416700000002</v>
      </c>
      <c r="Q16" s="20">
        <v>6421.481366</v>
      </c>
    </row>
    <row r="17" spans="2:25" ht="12.5" customHeight="1" x14ac:dyDescent="0.25">
      <c r="B17" s="3">
        <v>11</v>
      </c>
      <c r="C17" s="4" t="s">
        <v>25</v>
      </c>
      <c r="D17" s="20">
        <v>2340</v>
      </c>
      <c r="E17" s="20">
        <v>284</v>
      </c>
      <c r="F17" s="20">
        <v>8914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11236237</v>
      </c>
      <c r="N17" s="20">
        <v>5649651</v>
      </c>
      <c r="O17" s="20">
        <v>3765005</v>
      </c>
      <c r="P17" s="20">
        <v>24835.1</v>
      </c>
      <c r="Q17" s="20">
        <v>4262.2</v>
      </c>
      <c r="V17" s="131" t="s">
        <v>0</v>
      </c>
      <c r="W17" s="72" t="s">
        <v>1</v>
      </c>
    </row>
    <row r="18" spans="2:25" ht="12.5" customHeight="1" x14ac:dyDescent="0.25">
      <c r="B18" s="3">
        <v>12</v>
      </c>
      <c r="C18" s="4" t="s">
        <v>26</v>
      </c>
      <c r="D18" s="20">
        <v>1153</v>
      </c>
      <c r="E18" s="20">
        <v>48</v>
      </c>
      <c r="F18" s="20">
        <v>1066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2164083</v>
      </c>
      <c r="N18" s="20">
        <v>1440328</v>
      </c>
      <c r="O18" s="20">
        <v>423704</v>
      </c>
      <c r="P18" s="20">
        <v>6062.0560089999999</v>
      </c>
      <c r="Q18" s="20">
        <v>723.14454439999997</v>
      </c>
      <c r="V18" s="131"/>
      <c r="W18" s="72"/>
    </row>
    <row r="19" spans="2:25" ht="12.5" customHeight="1" x14ac:dyDescent="0.25">
      <c r="B19" s="3">
        <v>13</v>
      </c>
      <c r="C19" s="4" t="s">
        <v>27</v>
      </c>
      <c r="D19" s="20">
        <v>5272</v>
      </c>
      <c r="E19" s="20">
        <v>3815</v>
      </c>
      <c r="F19" s="20">
        <v>66127</v>
      </c>
      <c r="G19" s="20">
        <v>0</v>
      </c>
      <c r="H19" s="20">
        <v>334852</v>
      </c>
      <c r="I19" s="20">
        <v>7711</v>
      </c>
      <c r="J19" s="20">
        <v>644848</v>
      </c>
      <c r="K19" s="20">
        <v>34.033289780000004</v>
      </c>
      <c r="L19" s="20">
        <v>1325.6481463999999</v>
      </c>
      <c r="M19" s="20">
        <v>74156192</v>
      </c>
      <c r="N19" s="20">
        <v>24808441</v>
      </c>
      <c r="O19" s="20">
        <v>14843252</v>
      </c>
      <c r="P19" s="20">
        <v>113231.15538938</v>
      </c>
      <c r="Q19" s="20">
        <v>19253.56640512</v>
      </c>
      <c r="V19" s="131"/>
      <c r="W19" s="72"/>
    </row>
    <row r="20" spans="2:25" ht="12.5" customHeight="1" x14ac:dyDescent="0.25">
      <c r="B20" s="3">
        <v>14</v>
      </c>
      <c r="C20" s="4" t="s">
        <v>28</v>
      </c>
      <c r="D20" s="20">
        <v>4115</v>
      </c>
      <c r="E20" s="20">
        <v>407</v>
      </c>
      <c r="F20" s="20">
        <v>8829</v>
      </c>
      <c r="G20" s="20">
        <v>0</v>
      </c>
      <c r="H20" s="20">
        <v>46099</v>
      </c>
      <c r="I20" s="20">
        <v>2674</v>
      </c>
      <c r="J20" s="20">
        <v>185768</v>
      </c>
      <c r="K20" s="20">
        <v>11.52140837</v>
      </c>
      <c r="L20" s="20">
        <v>422.42782806000002</v>
      </c>
      <c r="M20" s="20">
        <v>8313504</v>
      </c>
      <c r="N20" s="20">
        <v>9405257</v>
      </c>
      <c r="O20" s="20">
        <v>5558837</v>
      </c>
      <c r="P20" s="20">
        <v>38504.522340690004</v>
      </c>
      <c r="Q20" s="20">
        <v>6352.5627455100002</v>
      </c>
      <c r="V20" s="131"/>
      <c r="W20" s="95" t="s">
        <v>1</v>
      </c>
      <c r="X20" s="102" t="s">
        <v>218</v>
      </c>
      <c r="Y20" s="102" t="s">
        <v>217</v>
      </c>
    </row>
    <row r="21" spans="2:25" x14ac:dyDescent="0.25">
      <c r="B21" s="3">
        <v>15</v>
      </c>
      <c r="C21" s="4" t="s">
        <v>29</v>
      </c>
      <c r="D21" s="20">
        <v>2030</v>
      </c>
      <c r="E21" s="20">
        <v>323</v>
      </c>
      <c r="F21" s="20">
        <v>4604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6825447</v>
      </c>
      <c r="N21" s="20">
        <v>5879795</v>
      </c>
      <c r="O21" s="20">
        <v>3520750</v>
      </c>
      <c r="P21" s="20">
        <v>23281.59318</v>
      </c>
      <c r="Q21" s="20">
        <v>4166.6704410000002</v>
      </c>
      <c r="V21" s="3">
        <v>1</v>
      </c>
      <c r="W21" s="75" t="s">
        <v>33</v>
      </c>
      <c r="X21" s="93">
        <v>94792.482470380026</v>
      </c>
      <c r="Y21" s="93">
        <v>164191.48264698999</v>
      </c>
    </row>
    <row r="22" spans="2:25" x14ac:dyDescent="0.25">
      <c r="B22" s="3">
        <v>16</v>
      </c>
      <c r="C22" s="4" t="s">
        <v>30</v>
      </c>
      <c r="D22" s="20">
        <v>3904</v>
      </c>
      <c r="E22" s="20">
        <v>2775</v>
      </c>
      <c r="F22" s="20">
        <v>51093</v>
      </c>
      <c r="G22" s="20">
        <v>0</v>
      </c>
      <c r="H22" s="20">
        <v>47578</v>
      </c>
      <c r="I22" s="20">
        <v>3890</v>
      </c>
      <c r="J22" s="20">
        <v>229993</v>
      </c>
      <c r="K22" s="20">
        <v>19.519555489999998</v>
      </c>
      <c r="L22" s="20">
        <v>599.84019637999995</v>
      </c>
      <c r="M22" s="20">
        <v>16863450</v>
      </c>
      <c r="N22" s="20">
        <v>27901060</v>
      </c>
      <c r="O22" s="20">
        <v>10506114</v>
      </c>
      <c r="P22" s="20">
        <v>86988.315122</v>
      </c>
      <c r="Q22" s="20">
        <v>11230.10190308</v>
      </c>
      <c r="V22" s="3">
        <v>2</v>
      </c>
      <c r="W22" s="75" t="s">
        <v>41</v>
      </c>
      <c r="X22" s="93">
        <v>161032.84456200001</v>
      </c>
      <c r="Y22" s="93">
        <v>71518.773362000007</v>
      </c>
    </row>
    <row r="23" spans="2:25" x14ac:dyDescent="0.25">
      <c r="B23" s="3">
        <v>17</v>
      </c>
      <c r="C23" s="4" t="s">
        <v>31</v>
      </c>
      <c r="D23" s="20">
        <v>996</v>
      </c>
      <c r="E23" s="20">
        <v>1021</v>
      </c>
      <c r="F23" s="20">
        <v>5462</v>
      </c>
      <c r="G23" s="20">
        <v>0</v>
      </c>
      <c r="H23" s="20">
        <v>7538</v>
      </c>
      <c r="I23" s="20">
        <v>242</v>
      </c>
      <c r="J23" s="20">
        <v>9278</v>
      </c>
      <c r="K23" s="20">
        <v>1.0216000000000001</v>
      </c>
      <c r="L23" s="20">
        <v>21.916442350000001</v>
      </c>
      <c r="M23" s="20">
        <v>8247430</v>
      </c>
      <c r="N23" s="20">
        <v>7807532</v>
      </c>
      <c r="O23" s="20">
        <v>2356887</v>
      </c>
      <c r="P23" s="20">
        <v>28301.703709000001</v>
      </c>
      <c r="Q23" s="20">
        <v>2931.2013569999999</v>
      </c>
      <c r="V23" s="3">
        <v>3</v>
      </c>
      <c r="W23" s="75" t="s">
        <v>42</v>
      </c>
      <c r="X23" s="93">
        <v>65059.624750000003</v>
      </c>
      <c r="Y23" s="93">
        <v>58265.673869999999</v>
      </c>
    </row>
    <row r="24" spans="2:25" x14ac:dyDescent="0.25">
      <c r="B24" s="3">
        <v>18</v>
      </c>
      <c r="C24" s="4" t="s">
        <v>32</v>
      </c>
      <c r="D24" s="20">
        <v>2204</v>
      </c>
      <c r="E24" s="20">
        <v>1497</v>
      </c>
      <c r="F24" s="20">
        <v>34578</v>
      </c>
      <c r="G24" s="20">
        <v>0</v>
      </c>
      <c r="H24" s="20">
        <v>33138</v>
      </c>
      <c r="I24" s="20">
        <v>867</v>
      </c>
      <c r="J24" s="20">
        <v>138805</v>
      </c>
      <c r="K24" s="20">
        <v>4.7343334000000006</v>
      </c>
      <c r="L24" s="20">
        <v>335.47402570999998</v>
      </c>
      <c r="M24" s="20">
        <v>12283024</v>
      </c>
      <c r="N24" s="20">
        <v>9476616</v>
      </c>
      <c r="O24" s="20">
        <v>6386545</v>
      </c>
      <c r="P24" s="20">
        <v>42078.305652709998</v>
      </c>
      <c r="Q24" s="20">
        <v>8390.9577056899998</v>
      </c>
      <c r="V24" s="3">
        <v>4</v>
      </c>
      <c r="W24" s="75" t="s">
        <v>34</v>
      </c>
      <c r="X24" s="93">
        <v>60699.963273000001</v>
      </c>
      <c r="Y24" s="93">
        <v>41149.600924999999</v>
      </c>
    </row>
    <row r="25" spans="2:25" x14ac:dyDescent="0.25">
      <c r="B25" s="3">
        <v>19</v>
      </c>
      <c r="C25" s="4" t="s">
        <v>33</v>
      </c>
      <c r="D25" s="20">
        <v>25583</v>
      </c>
      <c r="E25" s="20">
        <v>32885</v>
      </c>
      <c r="F25" s="20">
        <v>580765</v>
      </c>
      <c r="G25" s="20">
        <v>0</v>
      </c>
      <c r="H25" s="20">
        <v>8545759</v>
      </c>
      <c r="I25" s="20">
        <v>154499</v>
      </c>
      <c r="J25" s="20">
        <v>26511681</v>
      </c>
      <c r="K25" s="20">
        <v>595.23168399999997</v>
      </c>
      <c r="L25" s="20">
        <v>94792.482470380026</v>
      </c>
      <c r="M25" s="20">
        <v>297073038</v>
      </c>
      <c r="N25" s="20">
        <v>382742667</v>
      </c>
      <c r="O25" s="20">
        <v>118453038</v>
      </c>
      <c r="P25" s="20">
        <v>1100651.2958477901</v>
      </c>
      <c r="Q25" s="20">
        <v>164191.48264698999</v>
      </c>
      <c r="V25" s="3">
        <v>5</v>
      </c>
      <c r="W25" s="75" t="s">
        <v>17</v>
      </c>
      <c r="X25" s="93">
        <v>1722.8972550000001</v>
      </c>
      <c r="Y25" s="93">
        <v>20235.210329000001</v>
      </c>
    </row>
    <row r="26" spans="2:25" x14ac:dyDescent="0.25">
      <c r="B26" s="3">
        <v>20</v>
      </c>
      <c r="C26" s="4" t="s">
        <v>34</v>
      </c>
      <c r="D26" s="20">
        <v>5261</v>
      </c>
      <c r="E26" s="20">
        <v>11571</v>
      </c>
      <c r="F26" s="20">
        <v>504004</v>
      </c>
      <c r="G26" s="20">
        <v>0</v>
      </c>
      <c r="H26" s="20">
        <v>6076537</v>
      </c>
      <c r="I26" s="20">
        <v>106673</v>
      </c>
      <c r="J26" s="20">
        <v>16552071</v>
      </c>
      <c r="K26" s="20">
        <v>455.035372</v>
      </c>
      <c r="L26" s="20">
        <v>60699.963273000001</v>
      </c>
      <c r="M26" s="20">
        <v>24513438</v>
      </c>
      <c r="N26" s="20">
        <v>28563247</v>
      </c>
      <c r="O26" s="20">
        <v>28348998</v>
      </c>
      <c r="P26" s="20">
        <v>144103.58735616002</v>
      </c>
      <c r="Q26" s="20">
        <v>41149.600924999999</v>
      </c>
      <c r="V26" s="3">
        <v>6</v>
      </c>
      <c r="W26" s="75" t="s">
        <v>27</v>
      </c>
      <c r="X26" s="93">
        <v>1325.6481463999999</v>
      </c>
      <c r="Y26" s="93">
        <v>19253.56640512</v>
      </c>
    </row>
    <row r="27" spans="2:25" x14ac:dyDescent="0.25">
      <c r="B27" s="3">
        <v>21</v>
      </c>
      <c r="C27" s="4" t="s">
        <v>35</v>
      </c>
      <c r="D27" s="20">
        <v>481</v>
      </c>
      <c r="E27" s="20">
        <v>0</v>
      </c>
      <c r="F27" s="20">
        <v>26907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2915615</v>
      </c>
      <c r="N27" s="20">
        <v>2142270</v>
      </c>
      <c r="O27" s="20">
        <v>881592</v>
      </c>
      <c r="P27" s="20">
        <v>8269.0138669999997</v>
      </c>
      <c r="Q27" s="20">
        <v>1309.23536575</v>
      </c>
      <c r="V27" s="3">
        <v>7</v>
      </c>
      <c r="W27" s="75" t="s">
        <v>20</v>
      </c>
      <c r="X27" s="93">
        <v>1348.38425001</v>
      </c>
      <c r="Y27" s="93">
        <v>16514.041194770001</v>
      </c>
    </row>
    <row r="28" spans="2:25" x14ac:dyDescent="0.25">
      <c r="B28" s="3">
        <v>22</v>
      </c>
      <c r="C28" s="4" t="s">
        <v>36</v>
      </c>
      <c r="D28" s="20">
        <v>235</v>
      </c>
      <c r="E28" s="20">
        <v>46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597437</v>
      </c>
      <c r="N28" s="20">
        <v>642691</v>
      </c>
      <c r="O28" s="20">
        <v>153545</v>
      </c>
      <c r="P28" s="20">
        <v>1931.1782000000001</v>
      </c>
      <c r="Q28" s="20">
        <v>254.79258300000001</v>
      </c>
      <c r="V28" s="3">
        <v>8</v>
      </c>
      <c r="W28" s="75" t="s">
        <v>48</v>
      </c>
      <c r="X28" s="93">
        <v>15824.109100720001</v>
      </c>
      <c r="Y28" s="93">
        <v>13046.52593242998</v>
      </c>
    </row>
    <row r="29" spans="2:25" x14ac:dyDescent="0.25">
      <c r="B29" s="3">
        <v>23</v>
      </c>
      <c r="C29" s="4" t="s">
        <v>37</v>
      </c>
      <c r="D29" s="20">
        <v>1008</v>
      </c>
      <c r="E29" s="20">
        <v>684</v>
      </c>
      <c r="F29" s="20">
        <v>9930</v>
      </c>
      <c r="G29" s="20">
        <v>0</v>
      </c>
      <c r="H29" s="20">
        <v>6738</v>
      </c>
      <c r="I29" s="20">
        <v>617</v>
      </c>
      <c r="J29" s="20">
        <v>22583</v>
      </c>
      <c r="K29" s="20">
        <v>2.6570923199999998</v>
      </c>
      <c r="L29" s="20">
        <v>59.402201229999996</v>
      </c>
      <c r="M29" s="20">
        <v>1818150</v>
      </c>
      <c r="N29" s="20">
        <v>2413621</v>
      </c>
      <c r="O29" s="20">
        <v>918070</v>
      </c>
      <c r="P29" s="20">
        <v>11100.306329700001</v>
      </c>
      <c r="Q29" s="20">
        <v>1162.0997309499999</v>
      </c>
      <c r="V29" s="3">
        <v>9</v>
      </c>
      <c r="W29" s="75" t="s">
        <v>30</v>
      </c>
      <c r="X29" s="93">
        <v>599.84019637999995</v>
      </c>
      <c r="Y29" s="93">
        <v>11230.10190308</v>
      </c>
    </row>
    <row r="30" spans="2:25" x14ac:dyDescent="0.25">
      <c r="B30" s="3">
        <v>24</v>
      </c>
      <c r="C30" s="4" t="s">
        <v>38</v>
      </c>
      <c r="D30" s="20">
        <v>285</v>
      </c>
      <c r="E30" s="20">
        <v>218</v>
      </c>
      <c r="F30" s="20">
        <v>5444</v>
      </c>
      <c r="G30" s="20">
        <v>0</v>
      </c>
      <c r="H30" s="20">
        <v>92043</v>
      </c>
      <c r="I30" s="20">
        <v>22233</v>
      </c>
      <c r="J30" s="20">
        <v>156612</v>
      </c>
      <c r="K30" s="20">
        <v>115.76296499999999</v>
      </c>
      <c r="L30" s="20">
        <v>239.37541100000001</v>
      </c>
      <c r="M30" s="20">
        <v>533902</v>
      </c>
      <c r="N30" s="20">
        <v>537892</v>
      </c>
      <c r="O30" s="20">
        <v>396840</v>
      </c>
      <c r="P30" s="20">
        <v>2741.3298239999999</v>
      </c>
      <c r="Q30" s="20">
        <v>738.87289799999996</v>
      </c>
      <c r="V30" s="3">
        <v>10</v>
      </c>
      <c r="W30" s="75" t="s">
        <v>18</v>
      </c>
      <c r="X30" s="93">
        <v>870.56844323999997</v>
      </c>
      <c r="Y30" s="93">
        <v>10826.374891129999</v>
      </c>
    </row>
    <row r="31" spans="2:25" x14ac:dyDescent="0.25">
      <c r="B31" s="3">
        <v>25</v>
      </c>
      <c r="C31" s="4" t="s">
        <v>39</v>
      </c>
      <c r="D31" s="20">
        <v>209</v>
      </c>
      <c r="E31" s="20">
        <v>137</v>
      </c>
      <c r="F31" s="20">
        <v>1205</v>
      </c>
      <c r="G31" s="20">
        <v>0</v>
      </c>
      <c r="H31" s="20">
        <v>6600</v>
      </c>
      <c r="I31" s="20">
        <v>84</v>
      </c>
      <c r="J31" s="20">
        <v>16983</v>
      </c>
      <c r="K31" s="20">
        <v>0.2843</v>
      </c>
      <c r="L31" s="20">
        <v>33.354975000000003</v>
      </c>
      <c r="M31" s="20">
        <v>421947</v>
      </c>
      <c r="N31" s="20">
        <v>554641</v>
      </c>
      <c r="O31" s="20">
        <v>265593</v>
      </c>
      <c r="P31" s="20">
        <v>1861.2514000000001</v>
      </c>
      <c r="Q31" s="20">
        <v>383.49879600000003</v>
      </c>
      <c r="V31" s="3">
        <v>11</v>
      </c>
      <c r="W31" s="75" t="s">
        <v>57</v>
      </c>
      <c r="X31" s="93">
        <v>48294.155421000003</v>
      </c>
      <c r="Y31" s="93">
        <v>9755.8703729999997</v>
      </c>
    </row>
    <row r="32" spans="2:25" x14ac:dyDescent="0.25">
      <c r="B32" s="3">
        <v>26</v>
      </c>
      <c r="C32" s="4" t="s">
        <v>40</v>
      </c>
      <c r="D32" s="20">
        <v>1168</v>
      </c>
      <c r="E32" s="20">
        <v>487</v>
      </c>
      <c r="F32" s="20">
        <v>6982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5686297</v>
      </c>
      <c r="N32" s="20">
        <v>8006462</v>
      </c>
      <c r="O32" s="20">
        <v>4929536</v>
      </c>
      <c r="P32" s="20">
        <v>40916.887496970005</v>
      </c>
      <c r="Q32" s="20">
        <v>6874.0438144299997</v>
      </c>
      <c r="V32" s="3">
        <v>12</v>
      </c>
      <c r="W32" s="75" t="s">
        <v>16</v>
      </c>
      <c r="X32" s="93">
        <v>1438.7442320600003</v>
      </c>
      <c r="Y32" s="93">
        <v>8832.7422572300002</v>
      </c>
    </row>
    <row r="33" spans="2:25" x14ac:dyDescent="0.25">
      <c r="B33" s="3">
        <v>27</v>
      </c>
      <c r="C33" s="4" t="s">
        <v>41</v>
      </c>
      <c r="D33" s="20">
        <v>6069</v>
      </c>
      <c r="E33" s="20">
        <v>7193</v>
      </c>
      <c r="F33" s="20">
        <v>531547</v>
      </c>
      <c r="G33" s="20">
        <v>0</v>
      </c>
      <c r="H33" s="20">
        <v>12574139</v>
      </c>
      <c r="I33" s="20">
        <v>180818</v>
      </c>
      <c r="J33" s="20">
        <v>44680208</v>
      </c>
      <c r="K33" s="20">
        <v>1035.074507</v>
      </c>
      <c r="L33" s="20">
        <v>161032.84456200001</v>
      </c>
      <c r="M33" s="20">
        <v>27425468</v>
      </c>
      <c r="N33" s="20">
        <v>37099927</v>
      </c>
      <c r="O33" s="20">
        <v>48489873</v>
      </c>
      <c r="P33" s="20">
        <v>191832.45587000001</v>
      </c>
      <c r="Q33" s="20">
        <v>71518.773362000007</v>
      </c>
      <c r="V33" s="3">
        <v>13</v>
      </c>
      <c r="W33" s="75" t="s">
        <v>23</v>
      </c>
      <c r="X33" s="93">
        <v>314.60000000000002</v>
      </c>
      <c r="Y33" s="93">
        <v>8423.6</v>
      </c>
    </row>
    <row r="34" spans="2:25" x14ac:dyDescent="0.25">
      <c r="B34" s="3">
        <v>28</v>
      </c>
      <c r="C34" s="4" t="s">
        <v>42</v>
      </c>
      <c r="D34" s="20">
        <v>5216</v>
      </c>
      <c r="E34" s="20">
        <v>9800</v>
      </c>
      <c r="F34" s="20">
        <v>353347</v>
      </c>
      <c r="G34" s="20">
        <v>0</v>
      </c>
      <c r="H34" s="20">
        <v>6826140</v>
      </c>
      <c r="I34" s="20">
        <v>51413</v>
      </c>
      <c r="J34" s="20">
        <v>23600721</v>
      </c>
      <c r="K34" s="20">
        <v>180.602374</v>
      </c>
      <c r="L34" s="20">
        <v>65059.624750000003</v>
      </c>
      <c r="M34" s="20">
        <v>44769955</v>
      </c>
      <c r="N34" s="20">
        <v>33797897</v>
      </c>
      <c r="O34" s="20">
        <v>40926673</v>
      </c>
      <c r="P34" s="20">
        <v>174744.92726200001</v>
      </c>
      <c r="Q34" s="20">
        <v>58265.673869999999</v>
      </c>
      <c r="V34" s="3">
        <v>14</v>
      </c>
      <c r="W34" s="75" t="s">
        <v>32</v>
      </c>
      <c r="X34" s="93">
        <v>335.47402570999998</v>
      </c>
      <c r="Y34" s="93">
        <v>8390.9577056899998</v>
      </c>
    </row>
    <row r="35" spans="2:25" x14ac:dyDescent="0.25">
      <c r="B35" s="3">
        <v>29</v>
      </c>
      <c r="C35" s="4" t="s">
        <v>43</v>
      </c>
      <c r="D35" s="20">
        <v>137</v>
      </c>
      <c r="E35" s="20">
        <v>6</v>
      </c>
      <c r="F35" s="20">
        <v>1807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1491191</v>
      </c>
      <c r="N35" s="20">
        <v>2253757</v>
      </c>
      <c r="O35" s="20">
        <v>1473857</v>
      </c>
      <c r="P35" s="20">
        <v>8430.1634650200012</v>
      </c>
      <c r="Q35" s="20">
        <v>1393.4838102799999</v>
      </c>
      <c r="V35" s="3">
        <v>15</v>
      </c>
      <c r="W35" s="75" t="s">
        <v>21</v>
      </c>
      <c r="X35" s="93">
        <v>370.54415143</v>
      </c>
      <c r="Y35" s="93">
        <v>7673.10592696</v>
      </c>
    </row>
    <row r="36" spans="2:25" x14ac:dyDescent="0.25">
      <c r="B36" s="3">
        <v>30</v>
      </c>
      <c r="C36" s="4" t="s">
        <v>44</v>
      </c>
      <c r="D36" s="20">
        <v>1091</v>
      </c>
      <c r="E36" s="20">
        <v>1493</v>
      </c>
      <c r="F36" s="20">
        <v>93510</v>
      </c>
      <c r="G36" s="20">
        <v>0</v>
      </c>
      <c r="H36" s="20">
        <v>1090367</v>
      </c>
      <c r="I36" s="20">
        <v>19259</v>
      </c>
      <c r="J36" s="20">
        <v>3477597</v>
      </c>
      <c r="K36" s="20">
        <v>96.169950689999993</v>
      </c>
      <c r="L36" s="20">
        <v>26447.190788020001</v>
      </c>
      <c r="M36" s="20">
        <v>4869822</v>
      </c>
      <c r="N36" s="20">
        <v>3638009</v>
      </c>
      <c r="O36" s="20">
        <v>2878688</v>
      </c>
      <c r="P36" s="20">
        <v>16559.224195719999</v>
      </c>
      <c r="Q36" s="20">
        <v>4341.6139999999996</v>
      </c>
      <c r="V36" s="3">
        <v>16</v>
      </c>
      <c r="W36" s="75" t="s">
        <v>40</v>
      </c>
      <c r="X36" s="93">
        <v>0</v>
      </c>
      <c r="Y36" s="93">
        <v>6874.0438144299997</v>
      </c>
    </row>
    <row r="37" spans="2:25" x14ac:dyDescent="0.25">
      <c r="B37" s="3">
        <v>31</v>
      </c>
      <c r="C37" s="4" t="s">
        <v>45</v>
      </c>
      <c r="D37" s="20">
        <v>732</v>
      </c>
      <c r="E37" s="20">
        <v>565</v>
      </c>
      <c r="F37" s="20">
        <v>16547</v>
      </c>
      <c r="G37" s="20">
        <v>0</v>
      </c>
      <c r="H37" s="20">
        <v>140008</v>
      </c>
      <c r="I37" s="20">
        <v>8998</v>
      </c>
      <c r="J37" s="20">
        <v>245506</v>
      </c>
      <c r="K37" s="20">
        <v>29.26324593</v>
      </c>
      <c r="L37" s="20">
        <v>943.52444134000007</v>
      </c>
      <c r="M37" s="20">
        <v>3879298</v>
      </c>
      <c r="N37" s="20">
        <v>6612555</v>
      </c>
      <c r="O37" s="20">
        <v>1083939</v>
      </c>
      <c r="P37" s="20">
        <v>30157.33169114</v>
      </c>
      <c r="Q37" s="20">
        <v>2908.6630843299999</v>
      </c>
      <c r="V37" s="3">
        <v>17</v>
      </c>
      <c r="W37" s="75" t="s">
        <v>24</v>
      </c>
      <c r="X37" s="93">
        <v>188.74639400000001</v>
      </c>
      <c r="Y37" s="93">
        <v>6421.481366</v>
      </c>
    </row>
    <row r="38" spans="2:25" x14ac:dyDescent="0.25">
      <c r="B38" s="3">
        <v>32</v>
      </c>
      <c r="C38" s="4" t="s">
        <v>46</v>
      </c>
      <c r="D38" s="20">
        <v>734</v>
      </c>
      <c r="E38" s="20">
        <v>806</v>
      </c>
      <c r="F38" s="20">
        <v>12387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4735120</v>
      </c>
      <c r="N38" s="20">
        <v>4700391</v>
      </c>
      <c r="O38" s="20">
        <v>2995641</v>
      </c>
      <c r="P38" s="20">
        <v>18460.122646</v>
      </c>
      <c r="Q38" s="20">
        <v>3611.1497450000002</v>
      </c>
      <c r="V38" s="3">
        <v>18</v>
      </c>
      <c r="W38" s="75" t="s">
        <v>28</v>
      </c>
      <c r="X38" s="93">
        <v>422.42782806000002</v>
      </c>
      <c r="Y38" s="93">
        <v>6352.5627455100002</v>
      </c>
    </row>
    <row r="39" spans="2:25" x14ac:dyDescent="0.25">
      <c r="B39" s="3">
        <v>33</v>
      </c>
      <c r="C39" s="4" t="s">
        <v>47</v>
      </c>
      <c r="D39" s="20">
        <v>730</v>
      </c>
      <c r="E39" s="20">
        <v>913</v>
      </c>
      <c r="F39" s="20">
        <v>21818</v>
      </c>
      <c r="G39" s="20">
        <v>0</v>
      </c>
      <c r="H39" s="20">
        <v>1459</v>
      </c>
      <c r="I39" s="20">
        <v>55</v>
      </c>
      <c r="J39" s="20">
        <v>1579</v>
      </c>
      <c r="K39" s="20">
        <v>0.3342</v>
      </c>
      <c r="L39" s="20">
        <v>24.52111098</v>
      </c>
      <c r="M39" s="20">
        <v>3437756</v>
      </c>
      <c r="N39" s="20">
        <v>5715987</v>
      </c>
      <c r="O39" s="20">
        <v>2189854</v>
      </c>
      <c r="P39" s="20">
        <v>25242.610719419998</v>
      </c>
      <c r="Q39" s="20">
        <v>2793.7205429599999</v>
      </c>
      <c r="V39" s="3">
        <v>19</v>
      </c>
      <c r="W39" s="96" t="s">
        <v>19</v>
      </c>
      <c r="X39" s="93">
        <v>0</v>
      </c>
      <c r="Y39" s="93">
        <v>5141.3130000800002</v>
      </c>
    </row>
    <row r="40" spans="2:25" x14ac:dyDescent="0.25">
      <c r="B40" s="3">
        <v>34</v>
      </c>
      <c r="C40" s="4" t="s">
        <v>48</v>
      </c>
      <c r="D40" s="20">
        <v>1191</v>
      </c>
      <c r="E40" s="20">
        <v>1181</v>
      </c>
      <c r="F40" s="20">
        <v>25001</v>
      </c>
      <c r="G40" s="20">
        <v>0</v>
      </c>
      <c r="H40" s="20">
        <v>2041986</v>
      </c>
      <c r="I40" s="20">
        <v>50451</v>
      </c>
      <c r="J40" s="20">
        <v>5670230</v>
      </c>
      <c r="K40" s="20">
        <v>201.27247318000002</v>
      </c>
      <c r="L40" s="20">
        <v>15824.109100720001</v>
      </c>
      <c r="M40" s="20">
        <v>12660912</v>
      </c>
      <c r="N40" s="20">
        <v>8659522</v>
      </c>
      <c r="O40" s="20">
        <v>10437595</v>
      </c>
      <c r="P40" s="20">
        <v>34708.142063719999</v>
      </c>
      <c r="Q40" s="20">
        <v>13046.52593242998</v>
      </c>
      <c r="V40" s="3">
        <v>20</v>
      </c>
      <c r="W40" s="75" t="s">
        <v>22</v>
      </c>
      <c r="X40" s="93">
        <v>402.23891794000002</v>
      </c>
      <c r="Y40" s="93">
        <v>4896.0695633000005</v>
      </c>
    </row>
    <row r="41" spans="2:25" x14ac:dyDescent="0.25">
      <c r="B41" s="3">
        <v>35</v>
      </c>
      <c r="C41" s="4" t="s">
        <v>49</v>
      </c>
      <c r="D41" s="20">
        <v>224</v>
      </c>
      <c r="E41" s="20">
        <v>135</v>
      </c>
      <c r="F41" s="20">
        <v>715510</v>
      </c>
      <c r="G41" s="20">
        <v>0</v>
      </c>
      <c r="H41" s="20">
        <v>1813481</v>
      </c>
      <c r="I41" s="20">
        <v>87127</v>
      </c>
      <c r="J41" s="20">
        <v>5326074</v>
      </c>
      <c r="K41" s="20">
        <v>340.35138876999997</v>
      </c>
      <c r="L41" s="20">
        <v>18358.598435380001</v>
      </c>
      <c r="M41" s="20">
        <v>712538</v>
      </c>
      <c r="N41" s="20">
        <v>768514</v>
      </c>
      <c r="O41" s="20">
        <v>595479</v>
      </c>
      <c r="P41" s="20">
        <v>2752.6724922599997</v>
      </c>
      <c r="Q41" s="20">
        <v>712.82053654999993</v>
      </c>
      <c r="V41" s="3">
        <v>21</v>
      </c>
      <c r="W41" s="75" t="s">
        <v>53</v>
      </c>
      <c r="X41" s="93">
        <v>4870.7658423299999</v>
      </c>
      <c r="Y41" s="93">
        <v>4863.0864796400001</v>
      </c>
    </row>
    <row r="42" spans="2:25" x14ac:dyDescent="0.25">
      <c r="B42" s="3">
        <v>36</v>
      </c>
      <c r="C42" s="4" t="s">
        <v>50</v>
      </c>
      <c r="D42" s="20">
        <v>797</v>
      </c>
      <c r="E42" s="20">
        <v>609</v>
      </c>
      <c r="F42" s="20">
        <v>11686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2846342</v>
      </c>
      <c r="N42" s="20">
        <v>2965451</v>
      </c>
      <c r="O42" s="20">
        <v>2023623</v>
      </c>
      <c r="P42" s="20">
        <v>12088.002635999999</v>
      </c>
      <c r="Q42" s="20">
        <v>2855.2225669999998</v>
      </c>
      <c r="V42" s="3">
        <v>22</v>
      </c>
      <c r="W42" s="75" t="s">
        <v>44</v>
      </c>
      <c r="X42" s="93">
        <v>26447.190788020001</v>
      </c>
      <c r="Y42" s="93">
        <v>4341.6139999999996</v>
      </c>
    </row>
    <row r="43" spans="2:25" x14ac:dyDescent="0.25">
      <c r="B43" s="3">
        <v>37</v>
      </c>
      <c r="C43" s="4" t="s">
        <v>51</v>
      </c>
      <c r="D43" s="20">
        <v>472</v>
      </c>
      <c r="E43" s="20">
        <v>680</v>
      </c>
      <c r="F43" s="20">
        <v>4630</v>
      </c>
      <c r="G43" s="20">
        <v>0</v>
      </c>
      <c r="H43" s="20">
        <v>19018</v>
      </c>
      <c r="I43" s="20">
        <v>2262</v>
      </c>
      <c r="J43" s="20">
        <v>50277</v>
      </c>
      <c r="K43" s="20">
        <v>10.3081006</v>
      </c>
      <c r="L43" s="20">
        <v>179.17383857999999</v>
      </c>
      <c r="M43" s="20">
        <v>1424751</v>
      </c>
      <c r="N43" s="20">
        <v>4641082</v>
      </c>
      <c r="O43" s="20">
        <v>658975</v>
      </c>
      <c r="P43" s="20">
        <v>19444.322199999999</v>
      </c>
      <c r="Q43" s="20">
        <v>962.70664359999989</v>
      </c>
      <c r="V43" s="3">
        <v>23</v>
      </c>
      <c r="W43" s="75" t="s">
        <v>25</v>
      </c>
      <c r="X43" s="93">
        <v>0</v>
      </c>
      <c r="Y43" s="93">
        <v>4262.2</v>
      </c>
    </row>
    <row r="44" spans="2:25" x14ac:dyDescent="0.25">
      <c r="B44" s="3">
        <v>38</v>
      </c>
      <c r="C44" s="4" t="s">
        <v>52</v>
      </c>
      <c r="D44" s="20">
        <v>449</v>
      </c>
      <c r="E44" s="20">
        <v>599</v>
      </c>
      <c r="F44" s="20">
        <v>4983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1376056</v>
      </c>
      <c r="N44" s="20">
        <v>925486</v>
      </c>
      <c r="O44" s="20">
        <v>302058</v>
      </c>
      <c r="P44" s="20">
        <v>4202.7</v>
      </c>
      <c r="Q44" s="20">
        <v>486.80099999999999</v>
      </c>
      <c r="V44" s="3">
        <v>24</v>
      </c>
      <c r="W44" s="75" t="s">
        <v>29</v>
      </c>
      <c r="X44" s="93">
        <v>0</v>
      </c>
      <c r="Y44" s="93">
        <v>4166.6704410000002</v>
      </c>
    </row>
    <row r="45" spans="2:25" x14ac:dyDescent="0.25">
      <c r="B45" s="3">
        <v>39</v>
      </c>
      <c r="C45" s="4" t="s">
        <v>53</v>
      </c>
      <c r="D45" s="20">
        <v>911</v>
      </c>
      <c r="E45" s="20">
        <v>419</v>
      </c>
      <c r="F45" s="20">
        <v>119358</v>
      </c>
      <c r="G45" s="20">
        <v>0</v>
      </c>
      <c r="H45" s="20">
        <v>520031</v>
      </c>
      <c r="I45" s="20">
        <v>7665</v>
      </c>
      <c r="J45" s="20">
        <v>1694680</v>
      </c>
      <c r="K45" s="20">
        <v>31.32916612</v>
      </c>
      <c r="L45" s="20">
        <v>4870.7658423299999</v>
      </c>
      <c r="M45" s="20">
        <v>2474297</v>
      </c>
      <c r="N45" s="20">
        <v>3204720</v>
      </c>
      <c r="O45" s="20">
        <v>3356980</v>
      </c>
      <c r="P45" s="20">
        <v>13998.460297</v>
      </c>
      <c r="Q45" s="20">
        <v>4863.0864796400001</v>
      </c>
      <c r="V45" s="3">
        <v>25</v>
      </c>
      <c r="W45" s="75" t="s">
        <v>46</v>
      </c>
      <c r="X45" s="93">
        <v>0</v>
      </c>
      <c r="Y45" s="93">
        <v>3611.1497450000002</v>
      </c>
    </row>
    <row r="46" spans="2:25" x14ac:dyDescent="0.25">
      <c r="B46" s="3">
        <v>40</v>
      </c>
      <c r="C46" s="4" t="s">
        <v>54</v>
      </c>
      <c r="D46" s="20">
        <v>0</v>
      </c>
      <c r="E46" s="20">
        <v>0</v>
      </c>
      <c r="F46" s="20">
        <v>43952</v>
      </c>
      <c r="G46" s="20">
        <v>0</v>
      </c>
      <c r="H46" s="20">
        <v>1487185</v>
      </c>
      <c r="I46" s="20">
        <v>2855</v>
      </c>
      <c r="J46" s="20">
        <v>6890763</v>
      </c>
      <c r="K46" s="20">
        <v>20.476400000000002</v>
      </c>
      <c r="L46" s="20">
        <v>52227.611222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V46" s="3">
        <v>26</v>
      </c>
      <c r="W46" s="75" t="s">
        <v>61</v>
      </c>
      <c r="X46" s="93">
        <v>11266.801826000001</v>
      </c>
      <c r="Y46" s="93">
        <v>3508.332805</v>
      </c>
    </row>
    <row r="47" spans="2:25" x14ac:dyDescent="0.25">
      <c r="B47" s="3">
        <v>41</v>
      </c>
      <c r="C47" s="4" t="s">
        <v>55</v>
      </c>
      <c r="D47" s="20">
        <v>0</v>
      </c>
      <c r="E47" s="20">
        <v>0</v>
      </c>
      <c r="F47" s="20">
        <v>0</v>
      </c>
      <c r="G47" s="20">
        <v>0</v>
      </c>
      <c r="H47" s="20">
        <v>23256</v>
      </c>
      <c r="I47" s="20">
        <v>185</v>
      </c>
      <c r="J47" s="20">
        <v>66816</v>
      </c>
      <c r="K47" s="20">
        <v>1.7139746299999998</v>
      </c>
      <c r="L47" s="20">
        <v>521.75735428999997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V47" s="3">
        <v>27</v>
      </c>
      <c r="W47" s="75" t="s">
        <v>15</v>
      </c>
      <c r="X47" s="93">
        <v>0</v>
      </c>
      <c r="Y47" s="93">
        <v>3247.7893250499997</v>
      </c>
    </row>
    <row r="48" spans="2:25" x14ac:dyDescent="0.25">
      <c r="B48" s="3">
        <v>42</v>
      </c>
      <c r="C48" s="4" t="s">
        <v>56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2699</v>
      </c>
      <c r="N48" s="20">
        <v>113</v>
      </c>
      <c r="O48" s="20">
        <v>169</v>
      </c>
      <c r="P48" s="20">
        <v>0.84041541000000008</v>
      </c>
      <c r="Q48" s="20">
        <v>0.49590801000000001</v>
      </c>
      <c r="V48" s="3">
        <v>28</v>
      </c>
      <c r="W48" s="75" t="s">
        <v>31</v>
      </c>
      <c r="X48" s="93">
        <v>21.916442350000001</v>
      </c>
      <c r="Y48" s="93">
        <v>2931.2013569999999</v>
      </c>
    </row>
    <row r="49" spans="2:25" x14ac:dyDescent="0.25">
      <c r="B49" s="3">
        <v>43</v>
      </c>
      <c r="C49" s="4" t="s">
        <v>57</v>
      </c>
      <c r="D49" s="20">
        <v>47</v>
      </c>
      <c r="E49" s="20">
        <v>479</v>
      </c>
      <c r="F49" s="20">
        <v>34827</v>
      </c>
      <c r="G49" s="20">
        <v>0</v>
      </c>
      <c r="H49" s="20">
        <v>2712405</v>
      </c>
      <c r="I49" s="20">
        <v>37523</v>
      </c>
      <c r="J49" s="20">
        <v>21079180</v>
      </c>
      <c r="K49" s="20">
        <v>219.09131600000001</v>
      </c>
      <c r="L49" s="20">
        <v>48294.155421000003</v>
      </c>
      <c r="M49" s="20">
        <v>1623826</v>
      </c>
      <c r="N49" s="20">
        <v>2008991</v>
      </c>
      <c r="O49" s="20">
        <v>5393415</v>
      </c>
      <c r="P49" s="20">
        <v>8229.0008049999997</v>
      </c>
      <c r="Q49" s="20">
        <v>9755.8703729999997</v>
      </c>
      <c r="V49" s="3">
        <v>29</v>
      </c>
      <c r="W49" s="75" t="s">
        <v>45</v>
      </c>
      <c r="X49" s="93">
        <v>943.52444134000007</v>
      </c>
      <c r="Y49" s="93">
        <v>2908.6630843299999</v>
      </c>
    </row>
    <row r="50" spans="2:25" x14ac:dyDescent="0.25">
      <c r="B50" s="3">
        <v>44</v>
      </c>
      <c r="C50" s="4" t="s">
        <v>58</v>
      </c>
      <c r="D50" s="20">
        <v>16</v>
      </c>
      <c r="E50" s="20">
        <v>28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2642059</v>
      </c>
      <c r="N50" s="20">
        <v>1024819</v>
      </c>
      <c r="O50" s="20">
        <v>1633547</v>
      </c>
      <c r="P50" s="20">
        <v>2117.9038430000001</v>
      </c>
      <c r="Q50" s="20">
        <v>1157.114689</v>
      </c>
      <c r="V50" s="3">
        <v>30</v>
      </c>
      <c r="W50" s="75" t="s">
        <v>50</v>
      </c>
      <c r="X50" s="93">
        <v>0</v>
      </c>
      <c r="Y50" s="93">
        <v>2855.2225669999998</v>
      </c>
    </row>
    <row r="51" spans="2:25" x14ac:dyDescent="0.25">
      <c r="B51" s="3">
        <v>45</v>
      </c>
      <c r="C51" s="4" t="s">
        <v>59</v>
      </c>
      <c r="D51" s="20">
        <v>13</v>
      </c>
      <c r="E51" s="20">
        <v>19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128799</v>
      </c>
      <c r="N51" s="20">
        <v>113197</v>
      </c>
      <c r="O51" s="20">
        <v>217023</v>
      </c>
      <c r="P51" s="20">
        <v>548.78322400000002</v>
      </c>
      <c r="Q51" s="20">
        <v>351.80336699999998</v>
      </c>
      <c r="V51" s="3">
        <v>31</v>
      </c>
      <c r="W51" s="75" t="s">
        <v>47</v>
      </c>
      <c r="X51" s="93">
        <v>24.52111098</v>
      </c>
      <c r="Y51" s="93">
        <v>2793.7205429599999</v>
      </c>
    </row>
    <row r="52" spans="2:25" x14ac:dyDescent="0.25">
      <c r="B52" s="3">
        <v>46</v>
      </c>
      <c r="C52" s="4" t="s">
        <v>60</v>
      </c>
      <c r="D52" s="20">
        <v>45</v>
      </c>
      <c r="E52" s="20">
        <v>44</v>
      </c>
      <c r="F52" s="20">
        <v>0</v>
      </c>
      <c r="G52" s="20">
        <v>0</v>
      </c>
      <c r="H52" s="20">
        <v>748451</v>
      </c>
      <c r="I52" s="20">
        <v>4443</v>
      </c>
      <c r="J52" s="20">
        <v>2111038</v>
      </c>
      <c r="K52" s="20">
        <v>31.1494</v>
      </c>
      <c r="L52" s="20">
        <v>6903.0613549999998</v>
      </c>
      <c r="M52" s="20">
        <v>456475</v>
      </c>
      <c r="N52" s="20">
        <v>354351</v>
      </c>
      <c r="O52" s="20">
        <v>471817</v>
      </c>
      <c r="P52" s="20">
        <v>7349.6095649999997</v>
      </c>
      <c r="Q52" s="20">
        <v>1457.565642</v>
      </c>
      <c r="V52" s="3">
        <v>32</v>
      </c>
      <c r="W52" s="75" t="s">
        <v>60</v>
      </c>
      <c r="X52" s="93">
        <v>6903.0613549999998</v>
      </c>
      <c r="Y52" s="93">
        <v>1457.565642</v>
      </c>
    </row>
    <row r="53" spans="2:25" x14ac:dyDescent="0.25">
      <c r="B53" s="3">
        <v>47</v>
      </c>
      <c r="C53" s="4" t="s">
        <v>61</v>
      </c>
      <c r="D53" s="20">
        <v>101</v>
      </c>
      <c r="E53" s="20">
        <v>122</v>
      </c>
      <c r="F53" s="20">
        <v>0</v>
      </c>
      <c r="G53" s="20">
        <v>0</v>
      </c>
      <c r="H53" s="20">
        <v>1289826</v>
      </c>
      <c r="I53" s="20">
        <v>5192</v>
      </c>
      <c r="J53" s="20">
        <v>4590531</v>
      </c>
      <c r="K53" s="20">
        <v>30.578216999999999</v>
      </c>
      <c r="L53" s="20">
        <v>11266.801826000001</v>
      </c>
      <c r="M53" s="20">
        <v>961898</v>
      </c>
      <c r="N53" s="20">
        <v>1862936</v>
      </c>
      <c r="O53" s="20">
        <v>3133597</v>
      </c>
      <c r="P53" s="20">
        <v>6259.8850970000003</v>
      </c>
      <c r="Q53" s="20">
        <v>3508.332805</v>
      </c>
      <c r="V53" s="3">
        <v>33</v>
      </c>
      <c r="W53" s="75" t="s">
        <v>43</v>
      </c>
      <c r="X53" s="93">
        <v>0</v>
      </c>
      <c r="Y53" s="93">
        <v>1393.4838102799999</v>
      </c>
    </row>
    <row r="54" spans="2:25" ht="12.75" customHeight="1" x14ac:dyDescent="0.25">
      <c r="B54" s="3">
        <v>48</v>
      </c>
      <c r="C54" s="4" t="s">
        <v>62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4808</v>
      </c>
      <c r="N54" s="20">
        <v>0</v>
      </c>
      <c r="O54" s="20">
        <v>767</v>
      </c>
      <c r="P54" s="20">
        <v>0</v>
      </c>
      <c r="Q54" s="20">
        <v>0.48952259000000004</v>
      </c>
      <c r="V54" s="3">
        <v>34</v>
      </c>
      <c r="W54" s="75" t="s">
        <v>35</v>
      </c>
      <c r="X54" s="93">
        <v>0</v>
      </c>
      <c r="Y54" s="93">
        <v>1309.23536575</v>
      </c>
    </row>
    <row r="55" spans="2:25" ht="12.75" customHeight="1" x14ac:dyDescent="0.25">
      <c r="B55" s="3">
        <v>49</v>
      </c>
      <c r="C55" s="4" t="s">
        <v>63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949155</v>
      </c>
      <c r="N55" s="20">
        <v>0</v>
      </c>
      <c r="O55" s="20">
        <v>1049535</v>
      </c>
      <c r="P55" s="20">
        <v>0</v>
      </c>
      <c r="Q55" s="20">
        <v>573.25190267999994</v>
      </c>
      <c r="V55" s="3">
        <v>35</v>
      </c>
      <c r="W55" s="75" t="s">
        <v>37</v>
      </c>
      <c r="X55" s="93">
        <v>59.402201229999996</v>
      </c>
      <c r="Y55" s="93">
        <v>1162.0997309499999</v>
      </c>
    </row>
    <row r="56" spans="2:25" ht="12.75" customHeight="1" x14ac:dyDescent="0.25">
      <c r="B56" s="3">
        <v>50</v>
      </c>
      <c r="C56" s="4" t="s">
        <v>64</v>
      </c>
      <c r="D56" s="20">
        <v>0</v>
      </c>
      <c r="E56" s="20">
        <v>0</v>
      </c>
      <c r="F56" s="20">
        <v>262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464140</v>
      </c>
      <c r="N56" s="20">
        <v>208317</v>
      </c>
      <c r="O56" s="20">
        <v>113363</v>
      </c>
      <c r="P56" s="20">
        <v>665.27091800000005</v>
      </c>
      <c r="Q56" s="20">
        <v>81.097371390000006</v>
      </c>
      <c r="V56" s="3">
        <v>36</v>
      </c>
      <c r="W56" s="75" t="s">
        <v>58</v>
      </c>
      <c r="X56" s="93">
        <v>0</v>
      </c>
      <c r="Y56" s="93">
        <v>1157.114689</v>
      </c>
    </row>
    <row r="57" spans="2:25" ht="12" customHeight="1" x14ac:dyDescent="0.25">
      <c r="B57" s="3">
        <v>51</v>
      </c>
      <c r="C57" s="4" t="s">
        <v>65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V57" s="3">
        <v>37</v>
      </c>
      <c r="W57" s="75" t="s">
        <v>51</v>
      </c>
      <c r="X57" s="93">
        <v>179.17383857999999</v>
      </c>
      <c r="Y57" s="93">
        <v>962.70664359999989</v>
      </c>
    </row>
    <row r="58" spans="2:25" ht="12.75" customHeight="1" x14ac:dyDescent="0.25">
      <c r="B58" s="3">
        <v>52</v>
      </c>
      <c r="C58" s="4" t="s">
        <v>66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V58" s="3">
        <v>38</v>
      </c>
      <c r="W58" s="75" t="s">
        <v>38</v>
      </c>
      <c r="X58" s="93">
        <v>239.37541100000001</v>
      </c>
      <c r="Y58" s="93">
        <v>738.87289799999996</v>
      </c>
    </row>
    <row r="59" spans="2:25" ht="12.75" customHeight="1" x14ac:dyDescent="0.25">
      <c r="B59" s="3">
        <v>53</v>
      </c>
      <c r="C59" s="4" t="s">
        <v>67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100</v>
      </c>
      <c r="N59" s="20">
        <v>11</v>
      </c>
      <c r="O59" s="20">
        <v>52</v>
      </c>
      <c r="P59" s="20">
        <v>1.4500000000000001E-2</v>
      </c>
      <c r="Q59" s="20">
        <v>1.62548E-2</v>
      </c>
      <c r="V59" s="3">
        <v>39</v>
      </c>
      <c r="W59" s="75" t="s">
        <v>26</v>
      </c>
      <c r="X59" s="93">
        <v>0</v>
      </c>
      <c r="Y59" s="93">
        <v>723.14454439999997</v>
      </c>
    </row>
    <row r="60" spans="2:25" ht="12.75" customHeight="1" x14ac:dyDescent="0.25">
      <c r="B60" s="3">
        <v>54</v>
      </c>
      <c r="C60" s="4" t="s">
        <v>68</v>
      </c>
      <c r="D60" s="20">
        <v>2</v>
      </c>
      <c r="E60" s="20">
        <v>0</v>
      </c>
      <c r="F60" s="20">
        <v>15565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45335254</v>
      </c>
      <c r="N60" s="20">
        <v>1487498</v>
      </c>
      <c r="O60" s="20">
        <v>3024375</v>
      </c>
      <c r="P60" s="20">
        <v>4355.207281</v>
      </c>
      <c r="Q60" s="20">
        <v>1855.0654931200004</v>
      </c>
      <c r="V60" s="3">
        <v>40</v>
      </c>
      <c r="W60" s="75" t="s">
        <v>49</v>
      </c>
      <c r="X60" s="93">
        <v>18358.598435380001</v>
      </c>
      <c r="Y60" s="93">
        <v>712.82053654999993</v>
      </c>
    </row>
    <row r="61" spans="2:25" ht="12.75" customHeight="1" x14ac:dyDescent="0.25">
      <c r="B61" s="3">
        <v>55</v>
      </c>
      <c r="C61" s="4" t="s">
        <v>69</v>
      </c>
      <c r="D61" s="20">
        <v>290</v>
      </c>
      <c r="E61" s="20">
        <v>256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916052</v>
      </c>
      <c r="N61" s="20">
        <v>603524</v>
      </c>
      <c r="O61" s="20">
        <v>310826</v>
      </c>
      <c r="P61" s="20">
        <v>3349.6046409999999</v>
      </c>
      <c r="Q61" s="20">
        <v>448.59999900000003</v>
      </c>
      <c r="V61" s="3">
        <v>41</v>
      </c>
      <c r="W61" s="75" t="s">
        <v>52</v>
      </c>
      <c r="X61" s="93">
        <v>0</v>
      </c>
      <c r="Y61" s="93">
        <v>486.80099999999999</v>
      </c>
    </row>
    <row r="62" spans="2:25" ht="12.75" customHeight="1" x14ac:dyDescent="0.25">
      <c r="B62" s="3">
        <v>56</v>
      </c>
      <c r="C62" s="4" t="s">
        <v>70</v>
      </c>
      <c r="D62" s="20">
        <v>130</v>
      </c>
      <c r="E62" s="20">
        <v>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97056</v>
      </c>
      <c r="N62" s="20">
        <v>75440</v>
      </c>
      <c r="O62" s="20">
        <v>43301</v>
      </c>
      <c r="P62" s="20">
        <v>342.38842599999998</v>
      </c>
      <c r="Q62" s="20">
        <v>64.290638659999999</v>
      </c>
      <c r="V62" s="3">
        <v>42</v>
      </c>
      <c r="W62" s="75" t="s">
        <v>39</v>
      </c>
      <c r="X62" s="93">
        <v>33.354975000000003</v>
      </c>
      <c r="Y62" s="93">
        <v>383.49879600000003</v>
      </c>
    </row>
    <row r="63" spans="2:25" ht="12.75" customHeight="1" x14ac:dyDescent="0.25">
      <c r="B63" s="3">
        <v>57</v>
      </c>
      <c r="C63" s="4" t="s">
        <v>71</v>
      </c>
      <c r="D63" s="20">
        <v>74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914586</v>
      </c>
      <c r="N63" s="20">
        <v>557608</v>
      </c>
      <c r="O63" s="20">
        <v>17026</v>
      </c>
      <c r="P63" s="20">
        <v>2971.99</v>
      </c>
      <c r="Q63" s="20">
        <v>12.67</v>
      </c>
      <c r="V63" s="3">
        <v>43</v>
      </c>
      <c r="W63" s="75" t="s">
        <v>59</v>
      </c>
      <c r="X63" s="93">
        <v>0</v>
      </c>
      <c r="Y63" s="93">
        <v>351.80336699999998</v>
      </c>
    </row>
    <row r="64" spans="2:25" ht="12.75" customHeight="1" x14ac:dyDescent="0.25">
      <c r="B64" s="3">
        <v>58</v>
      </c>
      <c r="C64" s="4" t="s">
        <v>72</v>
      </c>
      <c r="D64" s="20">
        <v>320</v>
      </c>
      <c r="E64" s="20">
        <v>2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531700</v>
      </c>
      <c r="N64" s="20">
        <v>965899</v>
      </c>
      <c r="O64" s="20">
        <v>146534</v>
      </c>
      <c r="P64" s="20">
        <v>2584.8818000000001</v>
      </c>
      <c r="Q64" s="20">
        <v>329.27788492000002</v>
      </c>
      <c r="V64" s="3">
        <v>44</v>
      </c>
      <c r="W64" s="75" t="s">
        <v>36</v>
      </c>
      <c r="X64" s="93">
        <v>0</v>
      </c>
      <c r="Y64" s="93">
        <v>254.79258300000001</v>
      </c>
    </row>
    <row r="65" spans="2:25" ht="12.75" customHeight="1" x14ac:dyDescent="0.25">
      <c r="B65" s="3">
        <v>59</v>
      </c>
      <c r="C65" s="4" t="s">
        <v>73</v>
      </c>
      <c r="D65" s="20">
        <v>130</v>
      </c>
      <c r="E65" s="20">
        <v>2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3141718</v>
      </c>
      <c r="N65" s="20">
        <v>497941</v>
      </c>
      <c r="O65" s="20">
        <v>69964</v>
      </c>
      <c r="P65" s="20">
        <v>2807</v>
      </c>
      <c r="Q65" s="20">
        <v>61</v>
      </c>
      <c r="V65" s="3">
        <v>45</v>
      </c>
      <c r="W65" s="75" t="s">
        <v>56</v>
      </c>
      <c r="X65" s="93">
        <v>0</v>
      </c>
      <c r="Y65" s="93">
        <v>0.49590801000000001</v>
      </c>
    </row>
    <row r="66" spans="2:25" ht="12.75" customHeight="1" x14ac:dyDescent="0.25">
      <c r="B66" s="3">
        <v>60</v>
      </c>
      <c r="C66" s="4" t="s">
        <v>74</v>
      </c>
      <c r="D66" s="20">
        <v>120</v>
      </c>
      <c r="E66" s="20">
        <v>3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142215</v>
      </c>
      <c r="N66" s="20">
        <v>111109</v>
      </c>
      <c r="O66" s="20">
        <v>46116</v>
      </c>
      <c r="P66" s="20">
        <v>377.7638</v>
      </c>
      <c r="Q66" s="20">
        <v>58.412473990000002</v>
      </c>
      <c r="V66" s="3">
        <v>46</v>
      </c>
      <c r="W66" s="75" t="s">
        <v>54</v>
      </c>
      <c r="X66" s="93">
        <v>52227.611222</v>
      </c>
      <c r="Y66" s="93">
        <v>0</v>
      </c>
    </row>
    <row r="67" spans="2:25" ht="12.75" customHeight="1" x14ac:dyDescent="0.25">
      <c r="B67" s="3">
        <v>61</v>
      </c>
      <c r="C67" s="4" t="s">
        <v>75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53626</v>
      </c>
      <c r="N67" s="20">
        <v>7919</v>
      </c>
      <c r="O67" s="20">
        <v>2179</v>
      </c>
      <c r="P67" s="20">
        <v>30.097829999999998</v>
      </c>
      <c r="Q67" s="20">
        <v>9.0998920600000002</v>
      </c>
      <c r="V67" s="3">
        <v>47</v>
      </c>
      <c r="W67" s="79" t="s">
        <v>55</v>
      </c>
      <c r="X67" s="94">
        <v>521.75735428999997</v>
      </c>
      <c r="Y67" s="94">
        <v>0</v>
      </c>
    </row>
    <row r="68" spans="2:25" ht="12.75" customHeight="1" x14ac:dyDescent="0.25">
      <c r="B68" s="3">
        <v>62</v>
      </c>
      <c r="C68" s="4" t="s">
        <v>76</v>
      </c>
      <c r="D68" s="20">
        <v>25</v>
      </c>
      <c r="E68" s="20">
        <v>1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16269</v>
      </c>
      <c r="N68" s="20">
        <v>34995</v>
      </c>
      <c r="O68" s="20">
        <v>10036</v>
      </c>
      <c r="P68" s="20">
        <v>65.716099999999997</v>
      </c>
      <c r="Q68" s="20">
        <v>13.144662070000001</v>
      </c>
    </row>
    <row r="69" spans="2:25" ht="12.75" customHeight="1" x14ac:dyDescent="0.25">
      <c r="B69" s="3">
        <v>63</v>
      </c>
      <c r="C69" s="4" t="s">
        <v>77</v>
      </c>
      <c r="D69" s="20">
        <v>383</v>
      </c>
      <c r="E69" s="20">
        <v>3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2943937</v>
      </c>
      <c r="N69" s="20">
        <v>1872619</v>
      </c>
      <c r="O69" s="20">
        <v>302905</v>
      </c>
      <c r="P69" s="20">
        <v>7159.9624999999996</v>
      </c>
      <c r="Q69" s="20">
        <v>233.44882549000002</v>
      </c>
    </row>
    <row r="70" spans="2:25" ht="12.75" customHeight="1" x14ac:dyDescent="0.25">
      <c r="B70" s="3">
        <v>64</v>
      </c>
      <c r="C70" s="4" t="s">
        <v>78</v>
      </c>
      <c r="D70" s="20">
        <v>87</v>
      </c>
      <c r="E70" s="20">
        <v>36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181041</v>
      </c>
      <c r="N70" s="20">
        <v>91478</v>
      </c>
      <c r="O70" s="20">
        <v>47505</v>
      </c>
      <c r="P70" s="20">
        <v>418.88721482</v>
      </c>
      <c r="Q70" s="20">
        <v>191.68063811000022</v>
      </c>
    </row>
    <row r="71" spans="2:25" ht="12.75" customHeight="1" x14ac:dyDescent="0.3">
      <c r="B71" s="9"/>
      <c r="C71" s="10" t="s">
        <v>79</v>
      </c>
      <c r="D71" s="21">
        <f>SUM(D7:D70)</f>
        <v>109644</v>
      </c>
      <c r="E71" s="21">
        <f t="shared" ref="E71:Q71" si="0">SUM(E7:E70)</f>
        <v>97487</v>
      </c>
      <c r="F71" s="21">
        <f t="shared" si="0"/>
        <v>3757621</v>
      </c>
      <c r="G71" s="21">
        <f t="shared" si="0"/>
        <v>0</v>
      </c>
      <c r="H71" s="21">
        <f t="shared" si="0"/>
        <v>47996791</v>
      </c>
      <c r="I71" s="21">
        <f t="shared" si="0"/>
        <v>864856</v>
      </c>
      <c r="J71" s="21">
        <f t="shared" si="0"/>
        <v>166920586</v>
      </c>
      <c r="K71" s="21">
        <f t="shared" si="0"/>
        <v>4016.5818812699999</v>
      </c>
      <c r="L71" s="21">
        <f t="shared" si="0"/>
        <v>577140.34866083006</v>
      </c>
      <c r="M71" s="21">
        <f t="shared" si="0"/>
        <v>860294723</v>
      </c>
      <c r="N71" s="21">
        <f t="shared" si="0"/>
        <v>808909049</v>
      </c>
      <c r="O71" s="21">
        <f t="shared" si="0"/>
        <v>413080303</v>
      </c>
      <c r="P71" s="21">
        <f t="shared" si="0"/>
        <v>2843963.3391044498</v>
      </c>
      <c r="Q71" s="21">
        <f t="shared" si="0"/>
        <v>553508.72963211988</v>
      </c>
    </row>
    <row r="72" spans="2:25" ht="12.75" customHeight="1" x14ac:dyDescent="0.25">
      <c r="B72" s="135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7"/>
    </row>
    <row r="73" spans="2:25" x14ac:dyDescent="0.25">
      <c r="B73" s="12">
        <v>1</v>
      </c>
      <c r="C73" s="132" t="s">
        <v>80</v>
      </c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2:25" x14ac:dyDescent="0.25">
      <c r="B74" s="12">
        <v>2</v>
      </c>
      <c r="C74" s="132" t="s">
        <v>81</v>
      </c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4"/>
    </row>
    <row r="75" spans="2:25" x14ac:dyDescent="0.25">
      <c r="B75" s="12">
        <v>3</v>
      </c>
      <c r="C75" s="132" t="s">
        <v>82</v>
      </c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4"/>
    </row>
    <row r="76" spans="2:25" x14ac:dyDescent="0.25">
      <c r="B76" s="12">
        <v>4</v>
      </c>
      <c r="C76" s="132" t="s">
        <v>83</v>
      </c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4"/>
    </row>
    <row r="77" spans="2:25" ht="12.75" customHeight="1" x14ac:dyDescent="0.25">
      <c r="B77" s="12">
        <v>5</v>
      </c>
      <c r="C77" s="132" t="s">
        <v>84</v>
      </c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4"/>
    </row>
    <row r="78" spans="2:25" ht="12.75" customHeight="1" x14ac:dyDescent="0.25">
      <c r="B78" s="12">
        <v>6</v>
      </c>
      <c r="C78" s="132" t="s">
        <v>85</v>
      </c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4"/>
    </row>
    <row r="79" spans="2:25" ht="12.75" customHeight="1" x14ac:dyDescent="0.25">
      <c r="B79" s="12">
        <v>7</v>
      </c>
      <c r="C79" s="132" t="s">
        <v>86</v>
      </c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4"/>
    </row>
    <row r="80" spans="2:25" ht="12.75" customHeight="1" x14ac:dyDescent="0.25">
      <c r="B80" s="12">
        <v>8</v>
      </c>
      <c r="C80" s="132" t="s">
        <v>87</v>
      </c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4"/>
    </row>
    <row r="81" spans="2:17" ht="12.75" customHeight="1" x14ac:dyDescent="0.25">
      <c r="B81" s="12">
        <v>9</v>
      </c>
      <c r="C81" s="132" t="s">
        <v>88</v>
      </c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4"/>
    </row>
    <row r="82" spans="2:17" ht="12.75" customHeight="1" x14ac:dyDescent="0.25">
      <c r="B82" s="12">
        <v>10</v>
      </c>
      <c r="C82" s="132" t="s">
        <v>89</v>
      </c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2:17" ht="12.75" customHeight="1" x14ac:dyDescent="0.25">
      <c r="B83" s="12">
        <v>11</v>
      </c>
      <c r="C83" s="132" t="s">
        <v>90</v>
      </c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4"/>
    </row>
    <row r="84" spans="2:17" ht="12.75" customHeight="1" x14ac:dyDescent="0.25">
      <c r="B84" s="12">
        <v>12</v>
      </c>
      <c r="C84" s="132" t="s">
        <v>91</v>
      </c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4"/>
    </row>
    <row r="85" spans="2:17" ht="12.75" customHeight="1" x14ac:dyDescent="0.25">
      <c r="B85" s="12">
        <v>13</v>
      </c>
      <c r="C85" s="132" t="s">
        <v>92</v>
      </c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4"/>
    </row>
    <row r="86" spans="2:17" ht="12.75" customHeight="1" x14ac:dyDescent="0.25">
      <c r="B86" s="12">
        <v>14</v>
      </c>
      <c r="C86" s="132" t="s">
        <v>93</v>
      </c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4"/>
    </row>
    <row r="89" spans="2:17" x14ac:dyDescent="0.25">
      <c r="M89" s="16"/>
    </row>
    <row r="92" spans="2:17" x14ac:dyDescent="0.25">
      <c r="M92" s="16"/>
    </row>
  </sheetData>
  <mergeCells count="49"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  <mergeCell ref="N4:O4"/>
    <mergeCell ref="P4:Q4"/>
    <mergeCell ref="G4:G5"/>
    <mergeCell ref="H4:H5"/>
    <mergeCell ref="I4:J4"/>
    <mergeCell ref="K4:L4"/>
    <mergeCell ref="V3:V6"/>
    <mergeCell ref="W3:W6"/>
    <mergeCell ref="X3:Y3"/>
    <mergeCell ref="Z3:AA3"/>
    <mergeCell ref="AJ4:AK4"/>
    <mergeCell ref="X4:X5"/>
    <mergeCell ref="Y4:Y5"/>
    <mergeCell ref="Z4:Z5"/>
    <mergeCell ref="AA4:AA5"/>
    <mergeCell ref="AB4:AB5"/>
    <mergeCell ref="AB3:AF3"/>
    <mergeCell ref="AG3:AK3"/>
    <mergeCell ref="AC4:AD4"/>
    <mergeCell ref="AE4:AF4"/>
    <mergeCell ref="AG4:AG5"/>
    <mergeCell ref="AH4:AI4"/>
    <mergeCell ref="M4:M5"/>
    <mergeCell ref="C83:Q83"/>
    <mergeCell ref="C84:Q84"/>
    <mergeCell ref="C85:Q85"/>
    <mergeCell ref="C86:Q86"/>
    <mergeCell ref="C81:Q81"/>
    <mergeCell ref="C82:Q82"/>
    <mergeCell ref="V17:V20"/>
    <mergeCell ref="C77:Q77"/>
    <mergeCell ref="C78:Q78"/>
    <mergeCell ref="C79:Q79"/>
    <mergeCell ref="C80:Q80"/>
    <mergeCell ref="C76:Q76"/>
    <mergeCell ref="B72:Q72"/>
    <mergeCell ref="C73:Q73"/>
    <mergeCell ref="C74:Q74"/>
    <mergeCell ref="C75:Q75"/>
  </mergeCells>
  <pageMargins left="0.08" right="0.09" top="0.13" bottom="0.12" header="0.02" footer="0.01"/>
  <pageSetup paperSize="9" scale="7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08"/>
  <sheetViews>
    <sheetView topLeftCell="AX27" workbookViewId="0">
      <selection activeCell="BG1" sqref="BG1:BG50"/>
    </sheetView>
  </sheetViews>
  <sheetFormatPr defaultRowHeight="12.5" x14ac:dyDescent="0.25"/>
  <cols>
    <col min="2" max="2" width="32" customWidth="1"/>
    <col min="3" max="3" width="11.54296875" customWidth="1"/>
    <col min="4" max="4" width="14.1796875" customWidth="1"/>
    <col min="7" max="7" width="11.36328125" customWidth="1"/>
    <col min="10" max="10" width="15.54296875" style="125" customWidth="1"/>
    <col min="11" max="11" width="15.1796875" style="125" customWidth="1"/>
    <col min="12" max="12" width="16.7265625" customWidth="1"/>
    <col min="13" max="13" width="13.1796875" customWidth="1"/>
    <col min="15" max="15" width="14.26953125" customWidth="1"/>
    <col min="16" max="17" width="17.26953125" customWidth="1"/>
    <col min="18" max="18" width="17.7265625" customWidth="1"/>
    <col min="19" max="19" width="17.54296875" customWidth="1"/>
    <col min="20" max="20" width="16.26953125" customWidth="1"/>
    <col min="26" max="26" width="31.453125" customWidth="1"/>
    <col min="27" max="27" width="20.7265625" customWidth="1"/>
    <col min="28" max="28" width="35.08984375" customWidth="1"/>
    <col min="29" max="29" width="38.36328125" customWidth="1"/>
    <col min="30" max="30" width="29.1796875" customWidth="1"/>
    <col min="31" max="31" width="28.54296875" customWidth="1"/>
    <col min="32" max="32" width="28.453125" customWidth="1"/>
    <col min="33" max="33" width="12.26953125" customWidth="1"/>
    <col min="34" max="34" width="11.7265625" customWidth="1"/>
    <col min="36" max="36" width="40" customWidth="1"/>
    <col min="37" max="37" width="13.6328125" customWidth="1"/>
    <col min="38" max="38" width="20.36328125" customWidth="1"/>
    <col min="43" max="43" width="37.90625" customWidth="1"/>
    <col min="44" max="44" width="15.1796875" customWidth="1"/>
    <col min="45" max="45" width="15.1796875" hidden="1" customWidth="1"/>
    <col min="46" max="46" width="15.1796875" customWidth="1"/>
    <col min="47" max="48" width="15.54296875" customWidth="1"/>
    <col min="49" max="49" width="21.08984375" customWidth="1"/>
    <col min="50" max="51" width="15.54296875" customWidth="1"/>
    <col min="52" max="52" width="15.54296875" style="116" customWidth="1"/>
    <col min="53" max="53" width="14.54296875" hidden="1" customWidth="1"/>
    <col min="54" max="54" width="14.54296875" customWidth="1"/>
    <col min="55" max="56" width="18.08984375" customWidth="1"/>
    <col min="57" max="57" width="22.36328125" customWidth="1"/>
    <col min="58" max="58" width="16.7265625" customWidth="1"/>
    <col min="59" max="59" width="14.90625" customWidth="1"/>
    <col min="63" max="63" width="15.453125" customWidth="1"/>
    <col min="64" max="64" width="16.6328125" customWidth="1"/>
    <col min="65" max="65" width="9.1796875" customWidth="1"/>
    <col min="66" max="66" width="11.54296875" customWidth="1"/>
    <col min="68" max="68" width="29.81640625" customWidth="1"/>
    <col min="69" max="69" width="43.7265625" customWidth="1"/>
    <col min="70" max="70" width="44.7265625" customWidth="1"/>
    <col min="71" max="71" width="17.26953125" customWidth="1"/>
    <col min="72" max="72" width="14.1796875" customWidth="1"/>
    <col min="73" max="73" width="23.453125" customWidth="1"/>
    <col min="74" max="74" width="13.81640625" customWidth="1"/>
    <col min="75" max="75" width="27.08984375" customWidth="1"/>
    <col min="76" max="76" width="23.36328125" customWidth="1"/>
    <col min="77" max="77" width="20" customWidth="1"/>
    <col min="78" max="78" width="11.26953125" customWidth="1"/>
    <col min="79" max="79" width="12.26953125" customWidth="1"/>
    <col min="80" max="80" width="22.90625" customWidth="1"/>
    <col min="81" max="81" width="26.26953125" customWidth="1"/>
    <col min="82" max="82" width="30.26953125" bestFit="1" customWidth="1"/>
    <col min="83" max="83" width="22.81640625" customWidth="1"/>
    <col min="84" max="84" width="23.453125" customWidth="1"/>
    <col min="85" max="85" width="20.7265625" customWidth="1"/>
    <col min="86" max="86" width="16.6328125" customWidth="1"/>
    <col min="87" max="87" width="10.36328125" customWidth="1"/>
    <col min="88" max="88" width="20.54296875" customWidth="1"/>
    <col min="89" max="89" width="21.54296875" customWidth="1"/>
    <col min="90" max="90" width="12.54296875" bestFit="1" customWidth="1"/>
    <col min="91" max="91" width="11.08984375" bestFit="1" customWidth="1"/>
  </cols>
  <sheetData>
    <row r="1" spans="1:70" ht="26" x14ac:dyDescent="0.25">
      <c r="A1" s="131" t="s">
        <v>95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>
        <v>1000000</v>
      </c>
      <c r="V1" t="s">
        <v>203</v>
      </c>
      <c r="Y1" s="104" t="s">
        <v>0</v>
      </c>
      <c r="Z1" s="105" t="s">
        <v>1</v>
      </c>
      <c r="AA1" s="106" t="s">
        <v>206</v>
      </c>
      <c r="AB1" s="107" t="s">
        <v>207</v>
      </c>
      <c r="AC1" s="108" t="s">
        <v>209</v>
      </c>
      <c r="AD1" s="109" t="s">
        <v>208</v>
      </c>
      <c r="AJ1" s="82" t="s">
        <v>216</v>
      </c>
      <c r="AK1" s="82" t="s">
        <v>218</v>
      </c>
      <c r="AL1" s="82" t="s">
        <v>217</v>
      </c>
      <c r="AQ1" s="119" t="s">
        <v>1</v>
      </c>
      <c r="AR1" s="119" t="s">
        <v>221</v>
      </c>
      <c r="AS1" s="119" t="s">
        <v>230</v>
      </c>
      <c r="AT1" s="119" t="s">
        <v>230</v>
      </c>
      <c r="AU1" s="119" t="s">
        <v>223</v>
      </c>
      <c r="AV1" s="119" t="s">
        <v>232</v>
      </c>
      <c r="AW1" s="120" t="s">
        <v>228</v>
      </c>
      <c r="AX1" s="120" t="s">
        <v>233</v>
      </c>
      <c r="AY1" s="120" t="s">
        <v>234</v>
      </c>
      <c r="AZ1" s="121" t="s">
        <v>222</v>
      </c>
      <c r="BA1" s="120" t="s">
        <v>224</v>
      </c>
      <c r="BB1" s="120" t="s">
        <v>236</v>
      </c>
      <c r="BC1" s="120" t="s">
        <v>227</v>
      </c>
      <c r="BD1" s="120" t="s">
        <v>237</v>
      </c>
      <c r="BE1" s="120" t="s">
        <v>229</v>
      </c>
      <c r="BF1" s="120" t="s">
        <v>238</v>
      </c>
      <c r="BG1" s="120" t="s">
        <v>239</v>
      </c>
      <c r="BK1" s="82" t="s">
        <v>225</v>
      </c>
      <c r="BL1" s="82" t="s">
        <v>226</v>
      </c>
      <c r="BM1" t="s">
        <v>231</v>
      </c>
      <c r="BN1" t="s">
        <v>235</v>
      </c>
    </row>
    <row r="2" spans="1:70" ht="13" customHeight="1" x14ac:dyDescent="0.25">
      <c r="A2" s="148" t="s">
        <v>0</v>
      </c>
      <c r="B2" s="131" t="s">
        <v>1</v>
      </c>
      <c r="C2" s="138" t="s">
        <v>2</v>
      </c>
      <c r="D2" s="153"/>
      <c r="E2" s="138" t="s">
        <v>3</v>
      </c>
      <c r="F2" s="153"/>
      <c r="G2" s="131" t="s">
        <v>4</v>
      </c>
      <c r="H2" s="154"/>
      <c r="I2" s="154"/>
      <c r="J2" s="154"/>
      <c r="K2" s="154"/>
      <c r="L2" s="131" t="s">
        <v>5</v>
      </c>
      <c r="M2" s="154"/>
      <c r="N2" s="154"/>
      <c r="O2" s="154"/>
      <c r="P2" s="154"/>
      <c r="Y2" s="110">
        <v>1</v>
      </c>
      <c r="Z2" s="111" t="s">
        <v>15</v>
      </c>
      <c r="AA2" s="93">
        <v>2690</v>
      </c>
      <c r="AB2" s="93"/>
      <c r="AC2" s="93">
        <v>20372.243236950002</v>
      </c>
      <c r="AD2" s="112">
        <v>2905.1520976799998</v>
      </c>
      <c r="AJ2" s="4" t="s">
        <v>41</v>
      </c>
      <c r="AK2" s="93">
        <v>122059.993801</v>
      </c>
      <c r="AL2" s="93">
        <v>56155.270790000002</v>
      </c>
      <c r="AQ2" s="4" t="s">
        <v>15</v>
      </c>
      <c r="AR2" s="93">
        <v>0</v>
      </c>
      <c r="AS2" s="6">
        <v>0</v>
      </c>
      <c r="AT2" s="119">
        <v>0</v>
      </c>
      <c r="AU2" s="6">
        <v>0</v>
      </c>
      <c r="AV2" s="6"/>
      <c r="AW2" s="6"/>
      <c r="AX2" s="6"/>
      <c r="AY2" s="6"/>
      <c r="AZ2" s="93">
        <v>12997822</v>
      </c>
      <c r="BA2" s="6">
        <v>2905.1520976799998</v>
      </c>
      <c r="BB2" s="5">
        <f>BN2*$AR$52</f>
        <v>20372243236.950001</v>
      </c>
      <c r="BC2" s="119">
        <v>2905152097.6799998</v>
      </c>
      <c r="BD2" s="122">
        <f>SUM(BB2,BC2)</f>
        <v>23277395334.630001</v>
      </c>
      <c r="BE2" s="126">
        <f>BC2/AZ2</f>
        <v>223.5106849193657</v>
      </c>
      <c r="BF2" s="123">
        <f>BD2/AZ2</f>
        <v>1790.8689113168346</v>
      </c>
      <c r="BG2" s="124">
        <f>(BF2-BE2)/BE2</f>
        <v>7.0124532389264207</v>
      </c>
      <c r="BL2">
        <f>BA2*$AR$52</f>
        <v>2905152097.6799998</v>
      </c>
      <c r="BM2">
        <f t="shared" ref="BM2:BM33" si="0">AS2*$AR$52</f>
        <v>0</v>
      </c>
      <c r="BN2" s="6">
        <v>20372.243236950002</v>
      </c>
    </row>
    <row r="3" spans="1:70" x14ac:dyDescent="0.25">
      <c r="A3" s="159"/>
      <c r="B3" s="131"/>
      <c r="C3" s="138" t="s">
        <v>6</v>
      </c>
      <c r="D3" s="138" t="s">
        <v>7</v>
      </c>
      <c r="E3" s="138" t="s">
        <v>8</v>
      </c>
      <c r="F3" s="138" t="s">
        <v>9</v>
      </c>
      <c r="G3" s="138" t="s">
        <v>96</v>
      </c>
      <c r="H3" s="138" t="s">
        <v>11</v>
      </c>
      <c r="I3" s="154"/>
      <c r="J3" s="155" t="s">
        <v>12</v>
      </c>
      <c r="K3" s="156"/>
      <c r="L3" s="138" t="s">
        <v>96</v>
      </c>
      <c r="M3" s="138" t="s">
        <v>13</v>
      </c>
      <c r="N3" s="153"/>
      <c r="O3" s="155" t="s">
        <v>12</v>
      </c>
      <c r="P3" s="156"/>
      <c r="Y3" s="110">
        <v>2</v>
      </c>
      <c r="Z3" s="111" t="s">
        <v>16</v>
      </c>
      <c r="AA3" s="93">
        <v>14442</v>
      </c>
      <c r="AB3" s="93">
        <v>1121.0171496600001</v>
      </c>
      <c r="AC3" s="93">
        <v>30571.39414</v>
      </c>
      <c r="AD3" s="112">
        <v>7871.3</v>
      </c>
      <c r="AJ3" s="4" t="s">
        <v>33</v>
      </c>
      <c r="AK3" s="93">
        <v>75460.646885180002</v>
      </c>
      <c r="AL3" s="93">
        <v>139835.28102996</v>
      </c>
      <c r="AQ3" s="4" t="s">
        <v>16</v>
      </c>
      <c r="AR3" s="93">
        <v>236853</v>
      </c>
      <c r="AS3" s="6">
        <v>65.198112909999992</v>
      </c>
      <c r="AT3" s="122">
        <v>65198112.909999989</v>
      </c>
      <c r="AU3" s="5">
        <v>1121017149.6600001</v>
      </c>
      <c r="AV3" s="5">
        <f>SUM(AT3,AU3)</f>
        <v>1186215262.5700002</v>
      </c>
      <c r="AW3" s="5">
        <f>AU3/AR3</f>
        <v>4732.9658043596664</v>
      </c>
      <c r="AX3" s="5">
        <f>AV3/AR3</f>
        <v>5008.2340631953157</v>
      </c>
      <c r="AY3" s="118">
        <f t="shared" ref="AY3:AY23" si="1">(AX3-AW3)/AW3</f>
        <v>5.8159781881815413E-2</v>
      </c>
      <c r="AZ3" s="93">
        <v>24327998</v>
      </c>
      <c r="BA3" s="6">
        <v>7871.3</v>
      </c>
      <c r="BB3" s="5">
        <f t="shared" ref="BB3:BB50" si="2">BN3*$AR$52</f>
        <v>30571394140</v>
      </c>
      <c r="BC3" s="119">
        <v>7871300000</v>
      </c>
      <c r="BD3" s="122">
        <f t="shared" ref="BD3:BD50" si="3">SUM(BB3,BC3)</f>
        <v>38442694140</v>
      </c>
      <c r="BE3" s="123">
        <f t="shared" ref="BE3:BE50" si="4">BC3/AZ3</f>
        <v>323.54902363934758</v>
      </c>
      <c r="BF3" s="123">
        <f t="shared" ref="BF3:BF50" si="5">BD3/AZ3</f>
        <v>1580.1832168845131</v>
      </c>
      <c r="BG3" s="124">
        <f t="shared" ref="BG3:BG50" si="6">(BF3-BE3)/BE3</f>
        <v>3.8839066151715724</v>
      </c>
      <c r="BK3" s="117">
        <f>AU3*$AR$52</f>
        <v>1121017149660000.1</v>
      </c>
      <c r="BL3">
        <f t="shared" ref="BL3:BL50" si="7">BA3*$AR$52</f>
        <v>7871300000</v>
      </c>
      <c r="BM3">
        <f t="shared" si="0"/>
        <v>65198112.909999989</v>
      </c>
      <c r="BN3" s="6">
        <v>30571.39414</v>
      </c>
    </row>
    <row r="4" spans="1:70" ht="13" x14ac:dyDescent="0.25">
      <c r="A4" s="159"/>
      <c r="B4" s="131"/>
      <c r="C4" s="138"/>
      <c r="D4" s="138"/>
      <c r="E4" s="138"/>
      <c r="F4" s="138"/>
      <c r="G4" s="138"/>
      <c r="H4" s="22" t="s">
        <v>14</v>
      </c>
      <c r="I4" s="22" t="s">
        <v>3</v>
      </c>
      <c r="J4" s="2" t="s">
        <v>14</v>
      </c>
      <c r="K4" s="2" t="s">
        <v>3</v>
      </c>
      <c r="L4" s="138"/>
      <c r="M4" s="22" t="s">
        <v>14</v>
      </c>
      <c r="N4" s="22" t="s">
        <v>3</v>
      </c>
      <c r="O4" s="2" t="s">
        <v>14</v>
      </c>
      <c r="P4" s="2" t="s">
        <v>3</v>
      </c>
      <c r="Y4" s="110">
        <v>3</v>
      </c>
      <c r="Z4" s="111" t="s">
        <v>17</v>
      </c>
      <c r="AA4" s="93">
        <v>74383</v>
      </c>
      <c r="AB4" s="93">
        <v>815.96410775000004</v>
      </c>
      <c r="AC4" s="93">
        <v>81694.049961309996</v>
      </c>
      <c r="AD4" s="112">
        <v>12855.201977129998</v>
      </c>
      <c r="AJ4" s="4" t="s">
        <v>42</v>
      </c>
      <c r="AK4" s="93">
        <v>53334.154515000002</v>
      </c>
      <c r="AL4" s="93">
        <v>52894.216675999996</v>
      </c>
      <c r="AQ4" s="4" t="s">
        <v>17</v>
      </c>
      <c r="AR4" s="93">
        <v>126884</v>
      </c>
      <c r="AS4" s="6">
        <v>21.090847610000001</v>
      </c>
      <c r="AT4" s="122">
        <v>21090847.609999999</v>
      </c>
      <c r="AU4" s="5">
        <v>815964107.75</v>
      </c>
      <c r="AV4" s="5">
        <f t="shared" ref="AV4:AV50" si="8">SUM(AT4,AU4)</f>
        <v>837054955.36000001</v>
      </c>
      <c r="AW4" s="5">
        <f t="shared" ref="AW4:AW50" si="9">AU4/AR4</f>
        <v>6430.788024888875</v>
      </c>
      <c r="AX4" s="5">
        <f t="shared" ref="AX4:AX50" si="10">AV4/AR4</f>
        <v>6597.0095154629425</v>
      </c>
      <c r="AY4" s="118">
        <f t="shared" si="1"/>
        <v>2.5847763902455769E-2</v>
      </c>
      <c r="AZ4" s="93">
        <v>52549602</v>
      </c>
      <c r="BA4" s="6">
        <v>12855.201977129998</v>
      </c>
      <c r="BB4" s="5">
        <f t="shared" si="2"/>
        <v>81694049961.309998</v>
      </c>
      <c r="BC4" s="119">
        <v>12855201977.129999</v>
      </c>
      <c r="BD4" s="122">
        <f t="shared" si="3"/>
        <v>94549251938.440002</v>
      </c>
      <c r="BE4" s="123">
        <f t="shared" si="4"/>
        <v>244.62986374530485</v>
      </c>
      <c r="BF4" s="123">
        <f t="shared" si="5"/>
        <v>1799.2382118981607</v>
      </c>
      <c r="BG4" s="124">
        <f t="shared" si="6"/>
        <v>6.3549409886089316</v>
      </c>
      <c r="BK4">
        <f t="shared" ref="BK4:BK50" si="11">AU4*$AR$52</f>
        <v>815964107750000</v>
      </c>
      <c r="BL4">
        <f t="shared" si="7"/>
        <v>12855201977.129999</v>
      </c>
      <c r="BM4">
        <f t="shared" si="0"/>
        <v>21090847.609999999</v>
      </c>
      <c r="BN4" s="6">
        <v>81694.049961309996</v>
      </c>
    </row>
    <row r="5" spans="1:70" ht="13" customHeight="1" x14ac:dyDescent="0.25">
      <c r="A5" s="149"/>
      <c r="B5" s="131"/>
      <c r="C5" s="22">
        <v>1</v>
      </c>
      <c r="D5" s="22">
        <v>2</v>
      </c>
      <c r="E5" s="22">
        <v>3</v>
      </c>
      <c r="F5" s="22">
        <v>4</v>
      </c>
      <c r="G5" s="22">
        <v>5</v>
      </c>
      <c r="H5" s="22">
        <v>6</v>
      </c>
      <c r="I5" s="22">
        <v>7</v>
      </c>
      <c r="J5" s="2">
        <v>8</v>
      </c>
      <c r="K5" s="2">
        <v>9</v>
      </c>
      <c r="L5" s="22">
        <v>10</v>
      </c>
      <c r="M5" s="22">
        <v>11</v>
      </c>
      <c r="N5" s="22">
        <v>12</v>
      </c>
      <c r="O5" s="2">
        <v>13</v>
      </c>
      <c r="P5" s="2">
        <v>14</v>
      </c>
      <c r="Q5" t="s">
        <v>240</v>
      </c>
      <c r="R5" t="s">
        <v>241</v>
      </c>
      <c r="S5" t="s">
        <v>242</v>
      </c>
      <c r="T5" t="s">
        <v>243</v>
      </c>
      <c r="Y5" s="110">
        <v>4</v>
      </c>
      <c r="Z5" s="111" t="s">
        <v>18</v>
      </c>
      <c r="AA5" s="93">
        <v>95624</v>
      </c>
      <c r="AB5" s="93">
        <v>848.93253047000007</v>
      </c>
      <c r="AC5" s="93">
        <v>69929.61648112</v>
      </c>
      <c r="AD5" s="112">
        <v>9539.9268873900019</v>
      </c>
      <c r="AJ5" s="4" t="s">
        <v>34</v>
      </c>
      <c r="AK5" s="93">
        <v>46410.75316</v>
      </c>
      <c r="AL5" s="93">
        <v>32863.875194392342</v>
      </c>
      <c r="AQ5" s="4" t="s">
        <v>18</v>
      </c>
      <c r="AR5" s="93">
        <v>209908</v>
      </c>
      <c r="AS5" s="6">
        <v>139.6881281</v>
      </c>
      <c r="AT5" s="122">
        <v>139688128.09999999</v>
      </c>
      <c r="AU5" s="5">
        <v>848932530.47000003</v>
      </c>
      <c r="AV5" s="5">
        <f t="shared" si="8"/>
        <v>988620658.57000005</v>
      </c>
      <c r="AW5" s="5">
        <f t="shared" si="9"/>
        <v>4044.3076513043811</v>
      </c>
      <c r="AX5" s="5">
        <f t="shared" si="10"/>
        <v>4709.7807542828286</v>
      </c>
      <c r="AY5" s="118">
        <f t="shared" si="1"/>
        <v>0.16454561827506306</v>
      </c>
      <c r="AZ5" s="93">
        <v>53480940</v>
      </c>
      <c r="BA5" s="6">
        <v>9539.9268873900019</v>
      </c>
      <c r="BB5" s="5">
        <f t="shared" si="2"/>
        <v>69929616481.119995</v>
      </c>
      <c r="BC5" s="119">
        <v>9539926887.3900013</v>
      </c>
      <c r="BD5" s="122">
        <f t="shared" si="3"/>
        <v>79469543368.509995</v>
      </c>
      <c r="BE5" s="123">
        <f t="shared" si="4"/>
        <v>178.37994035613437</v>
      </c>
      <c r="BF5" s="123">
        <f t="shared" si="5"/>
        <v>1485.9414095659126</v>
      </c>
      <c r="BG5" s="124">
        <f t="shared" si="6"/>
        <v>7.3302046552949873</v>
      </c>
      <c r="BK5">
        <f t="shared" si="11"/>
        <v>848932530470000</v>
      </c>
      <c r="BL5">
        <f t="shared" si="7"/>
        <v>9539926887.3900013</v>
      </c>
      <c r="BM5">
        <f t="shared" si="0"/>
        <v>139688128.09999999</v>
      </c>
      <c r="BN5" s="6">
        <v>69929.61648112</v>
      </c>
      <c r="BP5" s="60"/>
      <c r="BQ5" s="61"/>
      <c r="BR5" s="103"/>
    </row>
    <row r="6" spans="1:70" x14ac:dyDescent="0.25">
      <c r="A6" s="3">
        <v>1</v>
      </c>
      <c r="B6" s="4" t="s">
        <v>15</v>
      </c>
      <c r="C6" s="5">
        <v>844</v>
      </c>
      <c r="D6" s="5">
        <v>265</v>
      </c>
      <c r="E6" s="5">
        <v>2690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12997822</v>
      </c>
      <c r="M6" s="5">
        <v>8240141</v>
      </c>
      <c r="N6" s="5">
        <v>3904263</v>
      </c>
      <c r="O6" s="6">
        <f>20372.24323695*1000000</f>
        <v>20372243236.949997</v>
      </c>
      <c r="P6" s="6">
        <f>2905.15209768*1000000</f>
        <v>2905152097.6800003</v>
      </c>
      <c r="Q6">
        <f>O6/M6</f>
        <v>2472.3173107049984</v>
      </c>
      <c r="R6">
        <f>P6/N6</f>
        <v>744.09743853833629</v>
      </c>
      <c r="T6" t="e">
        <f>K6/G6</f>
        <v>#DIV/0!</v>
      </c>
      <c r="Y6" s="110">
        <v>5</v>
      </c>
      <c r="Z6" s="111" t="s">
        <v>19</v>
      </c>
      <c r="AA6" s="93">
        <v>3390</v>
      </c>
      <c r="AB6" s="93">
        <v>0</v>
      </c>
      <c r="AC6" s="93">
        <v>24883.883351650002</v>
      </c>
      <c r="AD6" s="112">
        <v>4357.0583841600001</v>
      </c>
      <c r="AJ6" s="4" t="s">
        <v>54</v>
      </c>
      <c r="AK6" s="93">
        <v>45219.834348999997</v>
      </c>
      <c r="AL6" s="93">
        <v>0</v>
      </c>
      <c r="AQ6" s="4" t="s">
        <v>19</v>
      </c>
      <c r="AR6" s="93">
        <v>0</v>
      </c>
      <c r="AS6" s="6">
        <v>0</v>
      </c>
      <c r="AT6" s="122">
        <v>0</v>
      </c>
      <c r="AU6" s="5">
        <v>0</v>
      </c>
      <c r="AV6" s="5">
        <f t="shared" si="8"/>
        <v>0</v>
      </c>
      <c r="AW6" s="5" t="e">
        <f t="shared" si="9"/>
        <v>#DIV/0!</v>
      </c>
      <c r="AX6" s="5" t="e">
        <f t="shared" si="10"/>
        <v>#DIV/0!</v>
      </c>
      <c r="AY6" s="118" t="e">
        <f t="shared" si="1"/>
        <v>#DIV/0!</v>
      </c>
      <c r="AZ6" s="93">
        <v>6655616</v>
      </c>
      <c r="BA6" s="6">
        <v>4357.0583841600001</v>
      </c>
      <c r="BB6" s="5">
        <f t="shared" si="2"/>
        <v>24883883351.650002</v>
      </c>
      <c r="BC6" s="119">
        <v>4357058384.1599998</v>
      </c>
      <c r="BD6" s="122">
        <f t="shared" si="3"/>
        <v>29240941735.810001</v>
      </c>
      <c r="BE6" s="123">
        <f t="shared" si="4"/>
        <v>654.64389534492375</v>
      </c>
      <c r="BF6" s="123">
        <f t="shared" si="5"/>
        <v>4393.4237996618194</v>
      </c>
      <c r="BG6" s="124">
        <f t="shared" si="6"/>
        <v>5.7111659192162465</v>
      </c>
      <c r="BK6">
        <f t="shared" si="11"/>
        <v>0</v>
      </c>
      <c r="BL6">
        <f t="shared" si="7"/>
        <v>4357058384.1599998</v>
      </c>
      <c r="BM6">
        <f t="shared" si="0"/>
        <v>0</v>
      </c>
      <c r="BN6" s="6">
        <v>24883.883351650002</v>
      </c>
      <c r="BP6" s="60"/>
      <c r="BQ6" s="61"/>
      <c r="BR6" s="103"/>
    </row>
    <row r="7" spans="1:70" x14ac:dyDescent="0.25">
      <c r="A7" s="3">
        <v>2</v>
      </c>
      <c r="B7" s="4" t="s">
        <v>16</v>
      </c>
      <c r="C7" s="5">
        <v>3194</v>
      </c>
      <c r="D7" s="5">
        <v>816</v>
      </c>
      <c r="E7" s="5">
        <v>14442</v>
      </c>
      <c r="F7" s="5">
        <v>0</v>
      </c>
      <c r="G7" s="5">
        <v>236853</v>
      </c>
      <c r="H7" s="5">
        <v>13350</v>
      </c>
      <c r="I7" s="5">
        <v>449151</v>
      </c>
      <c r="J7" s="125">
        <v>65198112.909999989</v>
      </c>
      <c r="K7" s="125">
        <v>1121017149.6600001</v>
      </c>
      <c r="L7" s="5">
        <v>24327998</v>
      </c>
      <c r="M7" s="5">
        <v>8977799</v>
      </c>
      <c r="N7" s="5">
        <v>6006549</v>
      </c>
      <c r="O7">
        <v>30571394140</v>
      </c>
      <c r="P7">
        <v>7871300000</v>
      </c>
      <c r="Q7">
        <f>O7/M7</f>
        <v>3405.2214958254244</v>
      </c>
      <c r="R7">
        <f t="shared" ref="R7:R54" si="12">P7/N7</f>
        <v>1310.4529739123082</v>
      </c>
      <c r="S7">
        <f>J7/G7</f>
        <v>275.26825883564908</v>
      </c>
      <c r="T7">
        <f t="shared" ref="T7:T54" si="13">K7/G7</f>
        <v>4732.9658043596664</v>
      </c>
      <c r="Y7" s="110">
        <v>6</v>
      </c>
      <c r="Z7" s="111" t="s">
        <v>20</v>
      </c>
      <c r="AA7" s="93">
        <v>18730</v>
      </c>
      <c r="AB7" s="93">
        <v>1001.4198389200001</v>
      </c>
      <c r="AC7" s="93">
        <v>90743.181060209987</v>
      </c>
      <c r="AD7" s="112">
        <v>13474.50745049</v>
      </c>
      <c r="AJ7" s="4" t="s">
        <v>57</v>
      </c>
      <c r="AK7" s="93">
        <v>42245.965922000003</v>
      </c>
      <c r="AL7" s="93">
        <v>9075.9032819999993</v>
      </c>
      <c r="AQ7" s="4" t="s">
        <v>20</v>
      </c>
      <c r="AR7" s="93">
        <v>223048</v>
      </c>
      <c r="AS7" s="6">
        <v>160.63663574</v>
      </c>
      <c r="AT7" s="122">
        <v>160636635.74000001</v>
      </c>
      <c r="AU7" s="5">
        <v>1001419838.9200001</v>
      </c>
      <c r="AV7" s="5">
        <f t="shared" si="8"/>
        <v>1162056474.6600001</v>
      </c>
      <c r="AW7" s="5">
        <f t="shared" si="9"/>
        <v>4489.705529392777</v>
      </c>
      <c r="AX7" s="5">
        <f t="shared" si="10"/>
        <v>5209.8941692371154</v>
      </c>
      <c r="AY7" s="118">
        <f t="shared" si="1"/>
        <v>0.16040888096768841</v>
      </c>
      <c r="AZ7" s="93">
        <v>43963920</v>
      </c>
      <c r="BA7" s="6">
        <v>13474.50745049</v>
      </c>
      <c r="BB7" s="5">
        <f t="shared" si="2"/>
        <v>90743181060.209991</v>
      </c>
      <c r="BC7" s="119">
        <v>13474507450.49</v>
      </c>
      <c r="BD7" s="122">
        <f t="shared" si="3"/>
        <v>104217688510.7</v>
      </c>
      <c r="BE7" s="123">
        <f t="shared" si="4"/>
        <v>306.49012759758455</v>
      </c>
      <c r="BF7" s="123">
        <f t="shared" si="5"/>
        <v>2370.5276624718631</v>
      </c>
      <c r="BG7" s="124">
        <f t="shared" si="6"/>
        <v>6.7344339964656834</v>
      </c>
      <c r="BK7">
        <f t="shared" si="11"/>
        <v>1001419838920000.1</v>
      </c>
      <c r="BL7">
        <f t="shared" si="7"/>
        <v>13474507450.49</v>
      </c>
      <c r="BM7">
        <f t="shared" si="0"/>
        <v>160636635.74000001</v>
      </c>
      <c r="BN7" s="6">
        <v>90743.181060209987</v>
      </c>
      <c r="BP7" s="60"/>
      <c r="BQ7" s="61"/>
      <c r="BR7" s="103"/>
    </row>
    <row r="8" spans="1:70" x14ac:dyDescent="0.25">
      <c r="A8" s="3">
        <v>3</v>
      </c>
      <c r="B8" s="4" t="s">
        <v>17</v>
      </c>
      <c r="C8" s="5">
        <v>3428</v>
      </c>
      <c r="D8" s="5">
        <v>4918</v>
      </c>
      <c r="E8" s="5">
        <v>74383</v>
      </c>
      <c r="F8" s="5">
        <v>0</v>
      </c>
      <c r="G8" s="5">
        <v>126884</v>
      </c>
      <c r="H8" s="5">
        <v>5411</v>
      </c>
      <c r="I8" s="5">
        <v>332833</v>
      </c>
      <c r="J8" s="125">
        <v>21090847.609999999</v>
      </c>
      <c r="K8" s="125">
        <v>815964107.75</v>
      </c>
      <c r="L8" s="5">
        <v>52549602</v>
      </c>
      <c r="M8" s="5">
        <v>18711724</v>
      </c>
      <c r="N8" s="5">
        <v>13724789</v>
      </c>
      <c r="O8">
        <v>81694049961.309998</v>
      </c>
      <c r="P8">
        <v>12855201977.129999</v>
      </c>
      <c r="Q8">
        <f t="shared" ref="Q8:Q54" si="14">O8/M8</f>
        <v>4365.9285462584849</v>
      </c>
      <c r="R8">
        <f t="shared" si="12"/>
        <v>936.64113722476895</v>
      </c>
      <c r="S8">
        <f>J8/G8</f>
        <v>166.22149057406764</v>
      </c>
      <c r="T8">
        <f t="shared" si="13"/>
        <v>6430.788024888875</v>
      </c>
      <c r="Y8" s="110">
        <v>7</v>
      </c>
      <c r="Z8" s="111" t="s">
        <v>21</v>
      </c>
      <c r="AA8" s="93">
        <v>3669</v>
      </c>
      <c r="AB8" s="93">
        <v>365.06232647000002</v>
      </c>
      <c r="AC8" s="93">
        <v>48487.036828999997</v>
      </c>
      <c r="AD8" s="112">
        <v>6253.5093382499999</v>
      </c>
      <c r="AJ8" s="4" t="s">
        <v>44</v>
      </c>
      <c r="AK8" s="93">
        <v>16416.65319927</v>
      </c>
      <c r="AL8" s="93">
        <v>3360.4790384299999</v>
      </c>
      <c r="AQ8" s="4" t="s">
        <v>21</v>
      </c>
      <c r="AR8" s="93">
        <v>101808</v>
      </c>
      <c r="AS8" s="6">
        <v>11.01978422</v>
      </c>
      <c r="AT8" s="122">
        <v>11019784.220000001</v>
      </c>
      <c r="AU8" s="5">
        <v>365062326.47000003</v>
      </c>
      <c r="AV8" s="5">
        <f t="shared" si="8"/>
        <v>376082110.69000006</v>
      </c>
      <c r="AW8" s="5">
        <f t="shared" si="9"/>
        <v>3585.792142758919</v>
      </c>
      <c r="AX8" s="5">
        <f t="shared" si="10"/>
        <v>3694.0329904329724</v>
      </c>
      <c r="AY8" s="118">
        <f t="shared" si="1"/>
        <v>3.0186035153385259E-2</v>
      </c>
      <c r="AZ8" s="93">
        <v>29455083</v>
      </c>
      <c r="BA8" s="6">
        <v>6253.5093382499999</v>
      </c>
      <c r="BB8" s="5">
        <f t="shared" si="2"/>
        <v>48487036829</v>
      </c>
      <c r="BC8" s="119">
        <v>6253509338.25</v>
      </c>
      <c r="BD8" s="122">
        <f t="shared" si="3"/>
        <v>54740546167.25</v>
      </c>
      <c r="BE8" s="123">
        <f t="shared" si="4"/>
        <v>212.30662762858282</v>
      </c>
      <c r="BF8" s="123">
        <f t="shared" si="5"/>
        <v>1858.4414162828873</v>
      </c>
      <c r="BG8" s="124">
        <f t="shared" si="6"/>
        <v>7.7535723073804101</v>
      </c>
      <c r="BK8">
        <f t="shared" si="11"/>
        <v>365062326470000</v>
      </c>
      <c r="BL8">
        <f t="shared" si="7"/>
        <v>6253509338.25</v>
      </c>
      <c r="BM8">
        <f t="shared" si="0"/>
        <v>11019784.220000001</v>
      </c>
      <c r="BN8" s="6">
        <v>48487.036828999997</v>
      </c>
      <c r="BP8" s="60"/>
      <c r="BQ8" s="61"/>
      <c r="BR8" s="103"/>
    </row>
    <row r="9" spans="1:70" x14ac:dyDescent="0.25">
      <c r="A9" s="3">
        <v>4</v>
      </c>
      <c r="B9" s="4" t="s">
        <v>18</v>
      </c>
      <c r="C9" s="5">
        <v>3328</v>
      </c>
      <c r="D9" s="5">
        <v>4095</v>
      </c>
      <c r="E9" s="5">
        <v>95624</v>
      </c>
      <c r="F9" s="5">
        <v>0</v>
      </c>
      <c r="G9" s="5">
        <v>209908</v>
      </c>
      <c r="H9" s="5">
        <v>25510</v>
      </c>
      <c r="I9" s="5">
        <v>311259</v>
      </c>
      <c r="J9" s="125">
        <v>139688128.09999999</v>
      </c>
      <c r="K9" s="125">
        <v>848932530.47000003</v>
      </c>
      <c r="L9" s="5">
        <v>53480940</v>
      </c>
      <c r="M9" s="5">
        <v>30631122</v>
      </c>
      <c r="N9" s="5">
        <v>10575267</v>
      </c>
      <c r="O9">
        <v>69929616481.119995</v>
      </c>
      <c r="P9">
        <v>9539926887.3900013</v>
      </c>
      <c r="Q9">
        <f t="shared" si="14"/>
        <v>2282.9596800639556</v>
      </c>
      <c r="R9">
        <f t="shared" si="12"/>
        <v>902.09796947821758</v>
      </c>
      <c r="S9">
        <f>J9/G9</f>
        <v>665.47310297844763</v>
      </c>
      <c r="T9">
        <f t="shared" si="13"/>
        <v>4044.3076513043811</v>
      </c>
      <c r="Y9" s="110">
        <v>8</v>
      </c>
      <c r="Z9" s="111" t="s">
        <v>22</v>
      </c>
      <c r="AA9" s="93">
        <v>167758</v>
      </c>
      <c r="AB9" s="93">
        <v>370.40723220000007</v>
      </c>
      <c r="AC9" s="93">
        <v>29139.957352810001</v>
      </c>
      <c r="AD9" s="112">
        <v>4263.15175447</v>
      </c>
      <c r="AJ9" s="4" t="s">
        <v>48</v>
      </c>
      <c r="AK9" s="93">
        <v>11415.962289620002</v>
      </c>
      <c r="AL9" s="93">
        <v>8905.1065494000013</v>
      </c>
      <c r="AQ9" s="4" t="s">
        <v>22</v>
      </c>
      <c r="AR9" s="93">
        <v>106378</v>
      </c>
      <c r="AS9" s="6">
        <v>9.4736761999999999</v>
      </c>
      <c r="AT9" s="122">
        <v>9473676.1999999993</v>
      </c>
      <c r="AU9" s="5">
        <v>370407232.20000005</v>
      </c>
      <c r="AV9" s="5">
        <f t="shared" si="8"/>
        <v>379880908.40000004</v>
      </c>
      <c r="AW9" s="5">
        <f t="shared" si="9"/>
        <v>3481.9909398559857</v>
      </c>
      <c r="AX9" s="5">
        <f t="shared" si="10"/>
        <v>3571.0476639906751</v>
      </c>
      <c r="AY9" s="118">
        <f t="shared" si="1"/>
        <v>2.5576380201142262E-2</v>
      </c>
      <c r="AZ9" s="93">
        <v>12620620</v>
      </c>
      <c r="BA9" s="6">
        <v>4263.15175447</v>
      </c>
      <c r="BB9" s="5">
        <f t="shared" si="2"/>
        <v>29139957352.810001</v>
      </c>
      <c r="BC9" s="119">
        <v>4263151754.4699998</v>
      </c>
      <c r="BD9" s="122">
        <f t="shared" si="3"/>
        <v>33403109107.280003</v>
      </c>
      <c r="BE9" s="123">
        <f t="shared" si="4"/>
        <v>337.79257710556215</v>
      </c>
      <c r="BF9" s="123">
        <f t="shared" si="5"/>
        <v>2646.7090449819425</v>
      </c>
      <c r="BG9" s="124">
        <f t="shared" si="6"/>
        <v>6.835308483273244</v>
      </c>
      <c r="BK9">
        <f t="shared" si="11"/>
        <v>370407232200000.06</v>
      </c>
      <c r="BL9">
        <f t="shared" si="7"/>
        <v>4263151754.4699998</v>
      </c>
      <c r="BM9">
        <f t="shared" si="0"/>
        <v>9473676.1999999993</v>
      </c>
      <c r="BN9" s="6">
        <v>29139.957352810001</v>
      </c>
      <c r="BP9" s="60"/>
      <c r="BQ9" s="61"/>
      <c r="BR9" s="103"/>
    </row>
    <row r="10" spans="1:70" x14ac:dyDescent="0.25">
      <c r="A10" s="3">
        <v>5</v>
      </c>
      <c r="B10" s="4" t="s">
        <v>19</v>
      </c>
      <c r="C10" s="5">
        <v>1305</v>
      </c>
      <c r="D10" s="5">
        <v>559</v>
      </c>
      <c r="E10" s="5">
        <v>3390</v>
      </c>
      <c r="F10" s="5">
        <v>0</v>
      </c>
      <c r="G10" s="5">
        <v>0</v>
      </c>
      <c r="H10" s="5">
        <v>0</v>
      </c>
      <c r="I10" s="5">
        <v>0</v>
      </c>
      <c r="J10" s="125">
        <v>0</v>
      </c>
      <c r="K10" s="125">
        <v>0</v>
      </c>
      <c r="L10" s="5">
        <v>6655616</v>
      </c>
      <c r="M10" s="5">
        <v>6643504</v>
      </c>
      <c r="N10" s="5">
        <v>3856733</v>
      </c>
      <c r="O10">
        <v>24883883351.650002</v>
      </c>
      <c r="P10">
        <v>4357058384.1599998</v>
      </c>
      <c r="Q10">
        <f t="shared" si="14"/>
        <v>3745.5962021923974</v>
      </c>
      <c r="R10">
        <f t="shared" si="12"/>
        <v>1129.7277732630182</v>
      </c>
      <c r="S10" t="e">
        <f>J10/G10</f>
        <v>#DIV/0!</v>
      </c>
      <c r="T10" t="e">
        <f t="shared" si="13"/>
        <v>#DIV/0!</v>
      </c>
      <c r="Y10" s="110">
        <v>9</v>
      </c>
      <c r="Z10" s="111" t="s">
        <v>97</v>
      </c>
      <c r="AA10" s="93">
        <v>4899</v>
      </c>
      <c r="AB10" s="93">
        <v>0</v>
      </c>
      <c r="AC10" s="93">
        <v>17002.39862244</v>
      </c>
      <c r="AD10" s="112">
        <v>2149.7285320200003</v>
      </c>
      <c r="AJ10" s="4" t="s">
        <v>61</v>
      </c>
      <c r="AK10" s="93">
        <v>10677.456453000001</v>
      </c>
      <c r="AL10" s="93">
        <v>3135.31007</v>
      </c>
      <c r="AQ10" s="4" t="s">
        <v>97</v>
      </c>
      <c r="AR10" s="93">
        <v>0</v>
      </c>
      <c r="AS10" s="6">
        <v>0</v>
      </c>
      <c r="AT10" s="122">
        <v>0</v>
      </c>
      <c r="AU10" s="5">
        <v>0</v>
      </c>
      <c r="AV10" s="5">
        <f t="shared" si="8"/>
        <v>0</v>
      </c>
      <c r="AW10" s="5" t="e">
        <f t="shared" si="9"/>
        <v>#DIV/0!</v>
      </c>
      <c r="AX10" s="5" t="e">
        <f t="shared" si="10"/>
        <v>#DIV/0!</v>
      </c>
      <c r="AY10" s="118" t="e">
        <f t="shared" si="1"/>
        <v>#DIV/0!</v>
      </c>
      <c r="AZ10" s="93">
        <v>8871193</v>
      </c>
      <c r="BA10" s="6">
        <v>2149.7285320200003</v>
      </c>
      <c r="BB10" s="5">
        <f t="shared" si="2"/>
        <v>17002398622.440001</v>
      </c>
      <c r="BC10" s="119">
        <v>2149728532.0200005</v>
      </c>
      <c r="BD10" s="122">
        <f t="shared" si="3"/>
        <v>19152127154.459999</v>
      </c>
      <c r="BE10" s="123">
        <f t="shared" si="4"/>
        <v>242.32688117821363</v>
      </c>
      <c r="BF10" s="123">
        <f t="shared" si="5"/>
        <v>2158.9122403784922</v>
      </c>
      <c r="BG10" s="124">
        <f t="shared" si="6"/>
        <v>7.909091017396336</v>
      </c>
      <c r="BK10">
        <f t="shared" si="11"/>
        <v>0</v>
      </c>
      <c r="BL10">
        <f t="shared" si="7"/>
        <v>2149728532.0200005</v>
      </c>
      <c r="BM10">
        <f t="shared" si="0"/>
        <v>0</v>
      </c>
      <c r="BN10" s="6">
        <v>17002.39862244</v>
      </c>
      <c r="BP10" s="60"/>
      <c r="BQ10" s="61"/>
      <c r="BR10" s="103"/>
    </row>
    <row r="11" spans="1:70" x14ac:dyDescent="0.25">
      <c r="A11" s="3">
        <v>6</v>
      </c>
      <c r="B11" s="4" t="s">
        <v>20</v>
      </c>
      <c r="C11" s="5">
        <v>5082</v>
      </c>
      <c r="D11" s="5">
        <v>4248</v>
      </c>
      <c r="E11" s="5">
        <v>18730</v>
      </c>
      <c r="F11" s="5">
        <v>0</v>
      </c>
      <c r="G11" s="5">
        <v>223048</v>
      </c>
      <c r="H11" s="5">
        <v>31899</v>
      </c>
      <c r="I11" s="5">
        <v>447057</v>
      </c>
      <c r="J11" s="125">
        <v>160636635.74000001</v>
      </c>
      <c r="K11" s="125">
        <v>1001419838.9200001</v>
      </c>
      <c r="L11" s="5">
        <v>43963920</v>
      </c>
      <c r="M11" s="5">
        <v>21247077</v>
      </c>
      <c r="N11" s="5">
        <v>9594374</v>
      </c>
      <c r="O11">
        <v>90743181060.209991</v>
      </c>
      <c r="P11">
        <v>13474507450.49</v>
      </c>
      <c r="Q11">
        <f t="shared" si="14"/>
        <v>4270.8548126506994</v>
      </c>
      <c r="R11">
        <f t="shared" si="12"/>
        <v>1404.4175733080658</v>
      </c>
      <c r="S11">
        <f>J11/G11</f>
        <v>720.18863984433847</v>
      </c>
      <c r="T11">
        <f t="shared" si="13"/>
        <v>4489.705529392777</v>
      </c>
      <c r="Y11" s="110">
        <v>10</v>
      </c>
      <c r="Z11" s="111" t="s">
        <v>23</v>
      </c>
      <c r="AA11" s="93">
        <v>11242</v>
      </c>
      <c r="AB11" s="93">
        <v>324.5</v>
      </c>
      <c r="AC11" s="93">
        <v>70803.7</v>
      </c>
      <c r="AD11" s="112">
        <v>6134.4</v>
      </c>
      <c r="AJ11" s="4" t="s">
        <v>49</v>
      </c>
      <c r="AK11" s="93">
        <v>8794.8387055300009</v>
      </c>
      <c r="AL11" s="93">
        <v>557.05326963999994</v>
      </c>
      <c r="AQ11" s="4" t="s">
        <v>23</v>
      </c>
      <c r="AR11" s="93">
        <v>85215</v>
      </c>
      <c r="AS11" s="6">
        <v>16.2</v>
      </c>
      <c r="AT11" s="122">
        <v>16200000</v>
      </c>
      <c r="AU11" s="5">
        <v>324500000</v>
      </c>
      <c r="AV11" s="5">
        <f t="shared" si="8"/>
        <v>340700000</v>
      </c>
      <c r="AW11" s="5">
        <f t="shared" si="9"/>
        <v>3808.0150208296664</v>
      </c>
      <c r="AX11" s="5">
        <f t="shared" si="10"/>
        <v>3998.1223962917325</v>
      </c>
      <c r="AY11" s="118">
        <f t="shared" si="1"/>
        <v>4.992295839753455E-2</v>
      </c>
      <c r="AZ11" s="93">
        <v>18410002</v>
      </c>
      <c r="BA11" s="6">
        <v>6134.4</v>
      </c>
      <c r="BB11" s="5">
        <f t="shared" si="2"/>
        <v>70803700000</v>
      </c>
      <c r="BC11" s="119">
        <v>6134400000</v>
      </c>
      <c r="BD11" s="122">
        <f t="shared" si="3"/>
        <v>76938100000</v>
      </c>
      <c r="BE11" s="123">
        <f t="shared" si="4"/>
        <v>333.21017564256647</v>
      </c>
      <c r="BF11" s="123">
        <f t="shared" si="5"/>
        <v>4179.1467485989406</v>
      </c>
      <c r="BG11" s="124">
        <f t="shared" si="6"/>
        <v>11.542074204486175</v>
      </c>
      <c r="BK11">
        <f t="shared" si="11"/>
        <v>324500000000000</v>
      </c>
      <c r="BL11">
        <f t="shared" si="7"/>
        <v>6134400000</v>
      </c>
      <c r="BM11">
        <f t="shared" si="0"/>
        <v>16200000</v>
      </c>
      <c r="BN11" s="6">
        <v>70803.7</v>
      </c>
      <c r="BP11" s="60"/>
      <c r="BQ11" s="61"/>
      <c r="BR11" s="103"/>
    </row>
    <row r="12" spans="1:70" x14ac:dyDescent="0.25">
      <c r="A12" s="3">
        <v>7</v>
      </c>
      <c r="B12" s="4" t="s">
        <v>21</v>
      </c>
      <c r="C12" s="5">
        <v>3426</v>
      </c>
      <c r="D12" s="5">
        <v>1463</v>
      </c>
      <c r="E12" s="5">
        <v>3669</v>
      </c>
      <c r="F12" s="5">
        <v>0</v>
      </c>
      <c r="G12" s="5">
        <v>101808</v>
      </c>
      <c r="H12" s="5">
        <v>2471</v>
      </c>
      <c r="I12" s="5">
        <v>160891</v>
      </c>
      <c r="J12" s="125">
        <v>11019784.220000001</v>
      </c>
      <c r="K12" s="125">
        <v>365062326.47000003</v>
      </c>
      <c r="L12" s="5">
        <v>29455083</v>
      </c>
      <c r="M12" s="5">
        <v>11222752</v>
      </c>
      <c r="N12" s="5">
        <v>4758352</v>
      </c>
      <c r="O12">
        <v>48487036829</v>
      </c>
      <c r="P12">
        <v>6253509338.25</v>
      </c>
      <c r="Q12">
        <f t="shared" si="14"/>
        <v>4320.4230859774862</v>
      </c>
      <c r="R12">
        <f t="shared" si="12"/>
        <v>1314.2174724043114</v>
      </c>
      <c r="S12">
        <f t="shared" ref="S12:S54" si="15">J12/G12</f>
        <v>108.24084767405313</v>
      </c>
      <c r="T12">
        <f t="shared" si="13"/>
        <v>3585.792142758919</v>
      </c>
      <c r="Y12" s="110">
        <v>11</v>
      </c>
      <c r="Z12" s="111" t="s">
        <v>24</v>
      </c>
      <c r="AA12" s="93">
        <v>16192</v>
      </c>
      <c r="AB12" s="93">
        <v>245.189708</v>
      </c>
      <c r="AC12" s="93">
        <v>42746.436199999996</v>
      </c>
      <c r="AD12" s="112">
        <v>5606.1768110000003</v>
      </c>
      <c r="AJ12" s="4" t="s">
        <v>60</v>
      </c>
      <c r="AK12" s="93">
        <v>4491.7971269999998</v>
      </c>
      <c r="AL12" s="93">
        <v>1143.7237600000001</v>
      </c>
      <c r="AQ12" s="4" t="s">
        <v>24</v>
      </c>
      <c r="AR12" s="93">
        <v>53172</v>
      </c>
      <c r="AS12" s="6">
        <v>3.044276</v>
      </c>
      <c r="AT12" s="122">
        <v>3044276</v>
      </c>
      <c r="AU12" s="5">
        <v>245189708</v>
      </c>
      <c r="AV12" s="5">
        <f t="shared" si="8"/>
        <v>248233984</v>
      </c>
      <c r="AW12" s="5">
        <f t="shared" si="9"/>
        <v>4611.2560746257432</v>
      </c>
      <c r="AX12" s="5">
        <f t="shared" si="10"/>
        <v>4668.5094410592037</v>
      </c>
      <c r="AY12" s="118">
        <f t="shared" si="1"/>
        <v>1.2416002387832543E-2</v>
      </c>
      <c r="AZ12" s="93">
        <v>18249398</v>
      </c>
      <c r="BA12" s="6">
        <v>5606.1768110000003</v>
      </c>
      <c r="BB12" s="5">
        <f t="shared" si="2"/>
        <v>42746436200</v>
      </c>
      <c r="BC12" s="119">
        <v>5606176811</v>
      </c>
      <c r="BD12" s="122">
        <f t="shared" si="3"/>
        <v>48352613011</v>
      </c>
      <c r="BE12" s="123">
        <f t="shared" si="4"/>
        <v>307.19790378838798</v>
      </c>
      <c r="BF12" s="123">
        <f t="shared" si="5"/>
        <v>2649.5456458892509</v>
      </c>
      <c r="BG12" s="124">
        <f t="shared" si="6"/>
        <v>7.624881918837505</v>
      </c>
      <c r="BK12">
        <f t="shared" si="11"/>
        <v>245189708000000</v>
      </c>
      <c r="BL12">
        <f t="shared" si="7"/>
        <v>5606176811</v>
      </c>
      <c r="BM12">
        <f t="shared" si="0"/>
        <v>3044276</v>
      </c>
      <c r="BN12" s="6">
        <v>42746.436199999996</v>
      </c>
      <c r="BP12" s="60"/>
      <c r="BQ12" s="61"/>
      <c r="BR12" s="103"/>
    </row>
    <row r="13" spans="1:70" x14ac:dyDescent="0.25">
      <c r="A13" s="3">
        <v>8</v>
      </c>
      <c r="B13" s="4" t="s">
        <v>22</v>
      </c>
      <c r="C13" s="5">
        <v>2355</v>
      </c>
      <c r="D13" s="5">
        <v>751</v>
      </c>
      <c r="E13" s="5">
        <v>167758</v>
      </c>
      <c r="F13" s="5">
        <v>0</v>
      </c>
      <c r="G13" s="5">
        <v>106378</v>
      </c>
      <c r="H13" s="5">
        <v>2000</v>
      </c>
      <c r="I13" s="5">
        <v>148165</v>
      </c>
      <c r="J13" s="125">
        <v>9473676.1999999993</v>
      </c>
      <c r="K13" s="125">
        <v>370407232.20000005</v>
      </c>
      <c r="L13" s="5">
        <v>12620620</v>
      </c>
      <c r="M13" s="5">
        <v>7012069</v>
      </c>
      <c r="N13" s="5">
        <v>3465651</v>
      </c>
      <c r="O13">
        <v>29139957352.810001</v>
      </c>
      <c r="P13">
        <v>4263151754.4699998</v>
      </c>
      <c r="Q13">
        <f t="shared" si="14"/>
        <v>4155.6860539749396</v>
      </c>
      <c r="R13">
        <f t="shared" si="12"/>
        <v>1230.1157140375647</v>
      </c>
      <c r="S13">
        <f t="shared" si="15"/>
        <v>89.056724134689503</v>
      </c>
      <c r="T13">
        <f t="shared" si="13"/>
        <v>3481.9909398559857</v>
      </c>
      <c r="Y13" s="110">
        <v>12</v>
      </c>
      <c r="Z13" s="111" t="s">
        <v>25</v>
      </c>
      <c r="AA13" s="93">
        <v>8114</v>
      </c>
      <c r="AB13" s="93">
        <v>0</v>
      </c>
      <c r="AC13" s="93">
        <v>22225.612280000001</v>
      </c>
      <c r="AD13" s="112">
        <v>3365.50684</v>
      </c>
      <c r="AJ13" s="4" t="s">
        <v>53</v>
      </c>
      <c r="AK13" s="93">
        <v>2439.0782190800001</v>
      </c>
      <c r="AL13" s="93">
        <v>3453.2712253</v>
      </c>
      <c r="AQ13" s="4" t="s">
        <v>25</v>
      </c>
      <c r="AR13" s="93">
        <v>0</v>
      </c>
      <c r="AS13" s="6">
        <v>0</v>
      </c>
      <c r="AT13" s="122">
        <v>0</v>
      </c>
      <c r="AU13" s="5">
        <v>0</v>
      </c>
      <c r="AV13" s="5">
        <f t="shared" si="8"/>
        <v>0</v>
      </c>
      <c r="AW13" s="5" t="e">
        <f t="shared" si="9"/>
        <v>#DIV/0!</v>
      </c>
      <c r="AX13" s="5" t="e">
        <f t="shared" si="10"/>
        <v>#DIV/0!</v>
      </c>
      <c r="AY13" s="118" t="e">
        <f t="shared" si="1"/>
        <v>#DIV/0!</v>
      </c>
      <c r="AZ13" s="93">
        <v>11574359</v>
      </c>
      <c r="BA13" s="6">
        <v>3365.50684</v>
      </c>
      <c r="BB13" s="5">
        <f t="shared" si="2"/>
        <v>22225612280</v>
      </c>
      <c r="BC13" s="119">
        <v>3365506840</v>
      </c>
      <c r="BD13" s="122">
        <f t="shared" si="3"/>
        <v>25591119120</v>
      </c>
      <c r="BE13" s="123">
        <f t="shared" si="4"/>
        <v>290.77263285163349</v>
      </c>
      <c r="BF13" s="123">
        <f t="shared" si="5"/>
        <v>2211.0182620048331</v>
      </c>
      <c r="BG13" s="124">
        <f t="shared" si="6"/>
        <v>6.6039420915275873</v>
      </c>
      <c r="BK13">
        <f t="shared" si="11"/>
        <v>0</v>
      </c>
      <c r="BL13">
        <f t="shared" si="7"/>
        <v>3365506840</v>
      </c>
      <c r="BM13">
        <f t="shared" si="0"/>
        <v>0</v>
      </c>
      <c r="BN13" s="6">
        <v>22225.612280000001</v>
      </c>
      <c r="BP13" s="60"/>
      <c r="BQ13" s="61"/>
      <c r="BR13" s="103"/>
    </row>
    <row r="14" spans="1:70" x14ac:dyDescent="0.25">
      <c r="A14" s="3">
        <v>9</v>
      </c>
      <c r="B14" s="4" t="s">
        <v>97</v>
      </c>
      <c r="C14" s="5">
        <v>351</v>
      </c>
      <c r="D14" s="5">
        <v>1334</v>
      </c>
      <c r="E14" s="5">
        <v>4899</v>
      </c>
      <c r="F14" s="5">
        <v>0</v>
      </c>
      <c r="G14" s="5">
        <v>0</v>
      </c>
      <c r="H14" s="5">
        <v>0</v>
      </c>
      <c r="I14" s="5">
        <v>0</v>
      </c>
      <c r="J14" s="125">
        <v>0</v>
      </c>
      <c r="K14" s="125">
        <v>0</v>
      </c>
      <c r="L14" s="5">
        <v>8871193</v>
      </c>
      <c r="M14" s="5">
        <v>4138929</v>
      </c>
      <c r="N14" s="5">
        <v>1630592</v>
      </c>
      <c r="O14">
        <v>17002398622.440001</v>
      </c>
      <c r="P14">
        <v>2149728532.0200005</v>
      </c>
      <c r="Q14">
        <f t="shared" si="14"/>
        <v>4107.9222722689856</v>
      </c>
      <c r="R14">
        <f t="shared" si="12"/>
        <v>1318.373039987931</v>
      </c>
      <c r="S14" t="e">
        <f t="shared" si="15"/>
        <v>#DIV/0!</v>
      </c>
      <c r="T14" t="e">
        <f t="shared" si="13"/>
        <v>#DIV/0!</v>
      </c>
      <c r="Y14" s="110">
        <v>13</v>
      </c>
      <c r="Z14" s="111" t="s">
        <v>26</v>
      </c>
      <c r="AA14" s="93">
        <v>867</v>
      </c>
      <c r="AB14" s="93">
        <v>0</v>
      </c>
      <c r="AC14" s="93">
        <v>4928.0072440000004</v>
      </c>
      <c r="AD14" s="112">
        <v>566.68785400000002</v>
      </c>
      <c r="AJ14" s="4" t="s">
        <v>27</v>
      </c>
      <c r="AK14" s="93">
        <v>1375.7339917699999</v>
      </c>
      <c r="AL14" s="93">
        <v>16581.538336090001</v>
      </c>
      <c r="AQ14" s="4" t="s">
        <v>26</v>
      </c>
      <c r="AR14" s="93">
        <v>0</v>
      </c>
      <c r="AS14" s="6">
        <v>0</v>
      </c>
      <c r="AT14" s="122">
        <v>0</v>
      </c>
      <c r="AU14" s="5">
        <v>0</v>
      </c>
      <c r="AV14" s="5">
        <f t="shared" si="8"/>
        <v>0</v>
      </c>
      <c r="AW14" s="5" t="e">
        <f t="shared" si="9"/>
        <v>#DIV/0!</v>
      </c>
      <c r="AX14" s="5" t="e">
        <f t="shared" si="10"/>
        <v>#DIV/0!</v>
      </c>
      <c r="AY14" s="118" t="e">
        <f t="shared" si="1"/>
        <v>#DIV/0!</v>
      </c>
      <c r="AZ14" s="93">
        <v>2847602</v>
      </c>
      <c r="BA14" s="6">
        <v>566.68785400000002</v>
      </c>
      <c r="BB14" s="5">
        <f t="shared" si="2"/>
        <v>4928007244</v>
      </c>
      <c r="BC14" s="119">
        <v>566687854</v>
      </c>
      <c r="BD14" s="122">
        <f t="shared" si="3"/>
        <v>5494695098</v>
      </c>
      <c r="BE14" s="123">
        <f t="shared" si="4"/>
        <v>199.00528725573307</v>
      </c>
      <c r="BF14" s="123">
        <f t="shared" si="5"/>
        <v>1929.5867533454464</v>
      </c>
      <c r="BG14" s="124">
        <f t="shared" si="6"/>
        <v>8.6961582275239664</v>
      </c>
      <c r="BK14">
        <f t="shared" si="11"/>
        <v>0</v>
      </c>
      <c r="BL14">
        <f t="shared" si="7"/>
        <v>566687854</v>
      </c>
      <c r="BM14">
        <f t="shared" si="0"/>
        <v>0</v>
      </c>
      <c r="BN14" s="6">
        <v>4928.0072440000004</v>
      </c>
      <c r="BP14" s="60"/>
      <c r="BQ14" s="61"/>
      <c r="BR14" s="103"/>
    </row>
    <row r="15" spans="1:70" x14ac:dyDescent="0.25">
      <c r="A15" s="3">
        <v>10</v>
      </c>
      <c r="B15" s="4" t="s">
        <v>23</v>
      </c>
      <c r="C15" s="5">
        <v>2717</v>
      </c>
      <c r="D15" s="5">
        <v>647</v>
      </c>
      <c r="E15" s="5">
        <v>11242</v>
      </c>
      <c r="F15" s="5">
        <v>0</v>
      </c>
      <c r="G15" s="5">
        <v>85215</v>
      </c>
      <c r="H15" s="5">
        <v>2890</v>
      </c>
      <c r="I15" s="5">
        <v>143732</v>
      </c>
      <c r="J15" s="125">
        <v>16200000</v>
      </c>
      <c r="K15" s="125">
        <v>324500000</v>
      </c>
      <c r="L15" s="5">
        <v>18410002</v>
      </c>
      <c r="M15" s="5">
        <v>28955265</v>
      </c>
      <c r="N15" s="5">
        <v>5500367</v>
      </c>
      <c r="O15">
        <v>70803700000</v>
      </c>
      <c r="P15">
        <v>6134400000</v>
      </c>
      <c r="Q15">
        <f t="shared" si="14"/>
        <v>2445.2789501322127</v>
      </c>
      <c r="R15">
        <f t="shared" si="12"/>
        <v>1115.2710355509005</v>
      </c>
      <c r="S15">
        <f t="shared" si="15"/>
        <v>190.10737546206653</v>
      </c>
      <c r="T15">
        <f t="shared" si="13"/>
        <v>3808.0150208296664</v>
      </c>
      <c r="Y15" s="110">
        <v>14</v>
      </c>
      <c r="Z15" s="111" t="s">
        <v>27</v>
      </c>
      <c r="AA15" s="93">
        <v>51303</v>
      </c>
      <c r="AB15" s="93">
        <v>1375.7339917699999</v>
      </c>
      <c r="AC15" s="93">
        <v>103429.44941928</v>
      </c>
      <c r="AD15" s="112">
        <v>16581.538336090001</v>
      </c>
      <c r="AJ15" s="4" t="s">
        <v>16</v>
      </c>
      <c r="AK15" s="93">
        <v>1121.0171496600001</v>
      </c>
      <c r="AL15" s="93">
        <v>7871.3</v>
      </c>
      <c r="AQ15" s="4" t="s">
        <v>27</v>
      </c>
      <c r="AR15" s="93">
        <v>323477</v>
      </c>
      <c r="AS15" s="6">
        <v>33.283829260000005</v>
      </c>
      <c r="AT15" s="122">
        <v>33283829.260000005</v>
      </c>
      <c r="AU15" s="5">
        <v>1375733991.77</v>
      </c>
      <c r="AV15" s="5">
        <f t="shared" si="8"/>
        <v>1409017821.03</v>
      </c>
      <c r="AW15" s="5">
        <f t="shared" si="9"/>
        <v>4252.9576809788641</v>
      </c>
      <c r="AX15" s="5">
        <f t="shared" si="10"/>
        <v>4355.8516402402647</v>
      </c>
      <c r="AY15" s="118">
        <f t="shared" si="1"/>
        <v>2.4193506491162274E-2</v>
      </c>
      <c r="AZ15" s="93">
        <v>62381030</v>
      </c>
      <c r="BA15" s="6">
        <v>16581.538336090001</v>
      </c>
      <c r="BB15" s="5">
        <f t="shared" si="2"/>
        <v>103429449419.28</v>
      </c>
      <c r="BC15" s="119">
        <v>16581538336.090002</v>
      </c>
      <c r="BD15" s="122">
        <f t="shared" si="3"/>
        <v>120010987755.37</v>
      </c>
      <c r="BE15" s="123">
        <f t="shared" si="4"/>
        <v>265.81058915009902</v>
      </c>
      <c r="BF15" s="123">
        <f t="shared" si="5"/>
        <v>1923.8378679443092</v>
      </c>
      <c r="BG15" s="124">
        <f t="shared" si="6"/>
        <v>6.2376268909962365</v>
      </c>
      <c r="BK15">
        <f t="shared" si="11"/>
        <v>1375733991770000</v>
      </c>
      <c r="BL15">
        <f t="shared" si="7"/>
        <v>16581538336.090002</v>
      </c>
      <c r="BM15">
        <f t="shared" si="0"/>
        <v>33283829.260000005</v>
      </c>
      <c r="BN15" s="6">
        <v>103429.44941928</v>
      </c>
      <c r="BP15" s="60"/>
      <c r="BQ15" s="61"/>
      <c r="BR15" s="103"/>
    </row>
    <row r="16" spans="1:70" x14ac:dyDescent="0.25">
      <c r="A16" s="3">
        <v>11</v>
      </c>
      <c r="B16" s="4" t="s">
        <v>24</v>
      </c>
      <c r="C16" s="5">
        <v>2238</v>
      </c>
      <c r="D16" s="5">
        <v>755</v>
      </c>
      <c r="E16" s="5">
        <v>16192</v>
      </c>
      <c r="F16" s="5">
        <v>0</v>
      </c>
      <c r="G16" s="5">
        <v>53172</v>
      </c>
      <c r="H16" s="5">
        <v>854</v>
      </c>
      <c r="I16" s="5">
        <v>101468</v>
      </c>
      <c r="J16" s="125">
        <v>3044276</v>
      </c>
      <c r="K16" s="125">
        <v>245189708</v>
      </c>
      <c r="L16" s="5">
        <v>18249398</v>
      </c>
      <c r="M16" s="5">
        <v>10821667</v>
      </c>
      <c r="N16" s="5">
        <v>4217806</v>
      </c>
      <c r="O16">
        <v>42746436200</v>
      </c>
      <c r="P16">
        <v>5606176811</v>
      </c>
      <c r="Q16">
        <f t="shared" si="14"/>
        <v>3950.0786893553459</v>
      </c>
      <c r="R16">
        <f t="shared" si="12"/>
        <v>1329.1689591697675</v>
      </c>
      <c r="S16">
        <f t="shared" si="15"/>
        <v>57.253366433461217</v>
      </c>
      <c r="T16">
        <f t="shared" si="13"/>
        <v>4611.2560746257432</v>
      </c>
      <c r="Y16" s="110">
        <v>15</v>
      </c>
      <c r="Z16" s="111" t="s">
        <v>28</v>
      </c>
      <c r="AA16" s="93">
        <v>8033</v>
      </c>
      <c r="AB16" s="93">
        <v>351.0193635</v>
      </c>
      <c r="AC16" s="93">
        <v>32874.429077000001</v>
      </c>
      <c r="AD16" s="112">
        <v>4863.2305420000002</v>
      </c>
      <c r="AJ16" s="4" t="s">
        <v>20</v>
      </c>
      <c r="AK16" s="93">
        <v>1001.4198389200001</v>
      </c>
      <c r="AL16" s="93">
        <v>13474.50745049</v>
      </c>
      <c r="AQ16" s="4" t="s">
        <v>28</v>
      </c>
      <c r="AR16" s="93">
        <v>85050</v>
      </c>
      <c r="AS16" s="6">
        <v>11.485595679999999</v>
      </c>
      <c r="AT16" s="122">
        <v>11485595.68</v>
      </c>
      <c r="AU16" s="5">
        <v>351019363.5</v>
      </c>
      <c r="AV16" s="5">
        <f t="shared" si="8"/>
        <v>362504959.18000001</v>
      </c>
      <c r="AW16" s="5">
        <f t="shared" si="9"/>
        <v>4127.2117989417993</v>
      </c>
      <c r="AX16" s="5">
        <f t="shared" si="10"/>
        <v>4262.2570156378606</v>
      </c>
      <c r="AY16" s="118">
        <f t="shared" si="1"/>
        <v>3.272068972343177E-2</v>
      </c>
      <c r="AZ16" s="93">
        <v>16143972</v>
      </c>
      <c r="BA16" s="6">
        <v>4863.2305420000002</v>
      </c>
      <c r="BB16" s="5">
        <f t="shared" si="2"/>
        <v>32874429077</v>
      </c>
      <c r="BC16" s="119">
        <v>4863230542</v>
      </c>
      <c r="BD16" s="122">
        <f t="shared" si="3"/>
        <v>37737659619</v>
      </c>
      <c r="BE16" s="123">
        <f t="shared" si="4"/>
        <v>301.24126466522614</v>
      </c>
      <c r="BF16" s="123">
        <f t="shared" si="5"/>
        <v>2337.5696897269149</v>
      </c>
      <c r="BG16" s="124">
        <f t="shared" si="6"/>
        <v>6.7597924451840647</v>
      </c>
      <c r="BK16">
        <f t="shared" si="11"/>
        <v>351019363500000</v>
      </c>
      <c r="BL16">
        <f t="shared" si="7"/>
        <v>4863230542</v>
      </c>
      <c r="BM16">
        <f t="shared" si="0"/>
        <v>11485595.68</v>
      </c>
      <c r="BN16" s="6">
        <v>32874.429077000001</v>
      </c>
      <c r="BP16" s="60"/>
      <c r="BQ16" s="61"/>
      <c r="BR16" s="103"/>
    </row>
    <row r="17" spans="1:70" x14ac:dyDescent="0.25">
      <c r="A17" s="3">
        <v>12</v>
      </c>
      <c r="B17" s="4" t="s">
        <v>25</v>
      </c>
      <c r="C17" s="5">
        <v>2336</v>
      </c>
      <c r="D17" s="5">
        <v>299</v>
      </c>
      <c r="E17" s="5">
        <v>8114</v>
      </c>
      <c r="F17" s="5">
        <v>0</v>
      </c>
      <c r="G17" s="5">
        <v>0</v>
      </c>
      <c r="H17" s="5">
        <v>0</v>
      </c>
      <c r="I17" s="5">
        <v>0</v>
      </c>
      <c r="J17" s="125">
        <v>0</v>
      </c>
      <c r="K17" s="125">
        <v>0</v>
      </c>
      <c r="L17" s="5">
        <v>11574359</v>
      </c>
      <c r="M17" s="5">
        <v>4970953</v>
      </c>
      <c r="N17" s="5">
        <v>2764689</v>
      </c>
      <c r="O17">
        <v>22225612280</v>
      </c>
      <c r="P17">
        <v>3365506840</v>
      </c>
      <c r="Q17">
        <f t="shared" si="14"/>
        <v>4471.0968460172526</v>
      </c>
      <c r="R17">
        <f t="shared" si="12"/>
        <v>1217.318418093319</v>
      </c>
      <c r="S17" t="e">
        <f t="shared" si="15"/>
        <v>#DIV/0!</v>
      </c>
      <c r="T17" t="e">
        <f t="shared" si="13"/>
        <v>#DIV/0!</v>
      </c>
      <c r="Y17" s="110">
        <v>16</v>
      </c>
      <c r="Z17" s="111" t="s">
        <v>29</v>
      </c>
      <c r="AA17" s="93">
        <v>5294</v>
      </c>
      <c r="AB17" s="93">
        <v>0</v>
      </c>
      <c r="AC17" s="93">
        <v>20874.672485999999</v>
      </c>
      <c r="AD17" s="112">
        <v>3193.5899380000001</v>
      </c>
      <c r="AJ17" s="4" t="s">
        <v>18</v>
      </c>
      <c r="AK17" s="93">
        <v>848.93253047000007</v>
      </c>
      <c r="AL17" s="93">
        <v>9539.9268873900019</v>
      </c>
      <c r="AQ17" s="4" t="s">
        <v>29</v>
      </c>
      <c r="AR17" s="93">
        <v>0</v>
      </c>
      <c r="AS17" s="6">
        <v>0</v>
      </c>
      <c r="AT17" s="122">
        <v>0</v>
      </c>
      <c r="AU17" s="5">
        <v>0</v>
      </c>
      <c r="AV17" s="5">
        <f t="shared" si="8"/>
        <v>0</v>
      </c>
      <c r="AW17" s="5" t="e">
        <f t="shared" si="9"/>
        <v>#DIV/0!</v>
      </c>
      <c r="AX17" s="5" t="e">
        <f t="shared" si="10"/>
        <v>#DIV/0!</v>
      </c>
      <c r="AY17" s="118" t="e">
        <f t="shared" si="1"/>
        <v>#DIV/0!</v>
      </c>
      <c r="AZ17" s="93">
        <v>10490655</v>
      </c>
      <c r="BA17" s="6">
        <v>3193.5899380000001</v>
      </c>
      <c r="BB17" s="5">
        <f t="shared" si="2"/>
        <v>20874672486</v>
      </c>
      <c r="BC17" s="119">
        <v>3193589938</v>
      </c>
      <c r="BD17" s="122">
        <f t="shared" si="3"/>
        <v>24068262424</v>
      </c>
      <c r="BE17" s="123">
        <f t="shared" si="4"/>
        <v>304.4223585657902</v>
      </c>
      <c r="BF17" s="123">
        <f t="shared" si="5"/>
        <v>2294.2573580010016</v>
      </c>
      <c r="BG17" s="124">
        <f t="shared" si="6"/>
        <v>6.5364285619815226</v>
      </c>
      <c r="BK17">
        <f t="shared" si="11"/>
        <v>0</v>
      </c>
      <c r="BL17">
        <f t="shared" si="7"/>
        <v>3193589938</v>
      </c>
      <c r="BM17">
        <f t="shared" si="0"/>
        <v>0</v>
      </c>
      <c r="BN17" s="6">
        <v>20874.672485999999</v>
      </c>
      <c r="BP17" s="60"/>
      <c r="BQ17" s="61"/>
      <c r="BR17" s="103"/>
    </row>
    <row r="18" spans="1:70" x14ac:dyDescent="0.25">
      <c r="A18" s="3">
        <v>13</v>
      </c>
      <c r="B18" s="4" t="s">
        <v>26</v>
      </c>
      <c r="C18" s="5">
        <v>1077</v>
      </c>
      <c r="D18" s="5">
        <v>129</v>
      </c>
      <c r="E18" s="5">
        <v>867</v>
      </c>
      <c r="F18" s="5">
        <v>0</v>
      </c>
      <c r="G18" s="5">
        <v>0</v>
      </c>
      <c r="H18" s="5">
        <v>0</v>
      </c>
      <c r="I18" s="5">
        <v>0</v>
      </c>
      <c r="J18" s="125">
        <v>0</v>
      </c>
      <c r="K18" s="125">
        <v>0</v>
      </c>
      <c r="L18" s="5">
        <v>2847602</v>
      </c>
      <c r="M18" s="5">
        <v>1159262</v>
      </c>
      <c r="N18" s="5">
        <v>361191</v>
      </c>
      <c r="O18">
        <v>4928007244</v>
      </c>
      <c r="P18">
        <v>566687854</v>
      </c>
      <c r="Q18">
        <f t="shared" si="14"/>
        <v>4250.9866138974621</v>
      </c>
      <c r="R18">
        <f t="shared" si="12"/>
        <v>1568.9423435246172</v>
      </c>
      <c r="S18" t="e">
        <f t="shared" si="15"/>
        <v>#DIV/0!</v>
      </c>
      <c r="T18" t="e">
        <f t="shared" si="13"/>
        <v>#DIV/0!</v>
      </c>
      <c r="Y18" s="110">
        <v>17</v>
      </c>
      <c r="Z18" s="111" t="s">
        <v>30</v>
      </c>
      <c r="AA18" s="93">
        <v>56820</v>
      </c>
      <c r="AB18" s="93">
        <v>525.00841686000001</v>
      </c>
      <c r="AC18" s="93">
        <v>77098.020136000006</v>
      </c>
      <c r="AD18" s="112">
        <v>7803.76190993</v>
      </c>
      <c r="AJ18" s="4" t="s">
        <v>17</v>
      </c>
      <c r="AK18" s="93">
        <v>815.96410775000004</v>
      </c>
      <c r="AL18" s="93">
        <v>12855.201977129998</v>
      </c>
      <c r="AQ18" s="4" t="s">
        <v>30</v>
      </c>
      <c r="AR18" s="93">
        <v>200004</v>
      </c>
      <c r="AS18" s="6">
        <v>18.063345590000001</v>
      </c>
      <c r="AT18" s="122">
        <v>18063345.59</v>
      </c>
      <c r="AU18" s="5">
        <v>525008416.86000001</v>
      </c>
      <c r="AV18" s="5">
        <f t="shared" si="8"/>
        <v>543071762.45000005</v>
      </c>
      <c r="AW18" s="5">
        <f t="shared" si="9"/>
        <v>2624.9895845083097</v>
      </c>
      <c r="AX18" s="5">
        <f t="shared" si="10"/>
        <v>2715.3045061598768</v>
      </c>
      <c r="AY18" s="118">
        <f t="shared" si="1"/>
        <v>3.4405820954327392E-2</v>
      </c>
      <c r="AZ18" s="93">
        <v>22530851</v>
      </c>
      <c r="BA18" s="6">
        <v>7803.76190993</v>
      </c>
      <c r="BB18" s="5">
        <f t="shared" si="2"/>
        <v>77098020136</v>
      </c>
      <c r="BC18" s="119">
        <v>7803761909.9300003</v>
      </c>
      <c r="BD18" s="122">
        <f t="shared" si="3"/>
        <v>84901782045.929993</v>
      </c>
      <c r="BE18" s="123">
        <f t="shared" si="4"/>
        <v>346.35895066413605</v>
      </c>
      <c r="BF18" s="123">
        <f t="shared" si="5"/>
        <v>3768.2456843698442</v>
      </c>
      <c r="BG18" s="124">
        <f t="shared" si="6"/>
        <v>9.8795966645132509</v>
      </c>
      <c r="BK18">
        <f t="shared" si="11"/>
        <v>525008416860000</v>
      </c>
      <c r="BL18">
        <f t="shared" si="7"/>
        <v>7803761909.9300003</v>
      </c>
      <c r="BM18">
        <f t="shared" si="0"/>
        <v>18063345.59</v>
      </c>
      <c r="BN18" s="6">
        <v>77098.020136000006</v>
      </c>
      <c r="BP18" s="60"/>
      <c r="BQ18" s="61"/>
      <c r="BR18" s="103"/>
    </row>
    <row r="19" spans="1:70" x14ac:dyDescent="0.25">
      <c r="A19" s="3">
        <v>14</v>
      </c>
      <c r="B19" s="4" t="s">
        <v>27</v>
      </c>
      <c r="C19" s="5">
        <v>5424</v>
      </c>
      <c r="D19" s="5">
        <v>4245</v>
      </c>
      <c r="E19" s="5">
        <v>51303</v>
      </c>
      <c r="F19" s="5">
        <v>0</v>
      </c>
      <c r="G19" s="5">
        <v>323477</v>
      </c>
      <c r="H19" s="5">
        <v>7915</v>
      </c>
      <c r="I19" s="5">
        <v>622970</v>
      </c>
      <c r="J19" s="125">
        <v>33283829.260000005</v>
      </c>
      <c r="K19" s="125">
        <v>1375733991.77</v>
      </c>
      <c r="L19" s="5">
        <v>62381030</v>
      </c>
      <c r="M19" s="5">
        <v>22539816</v>
      </c>
      <c r="N19" s="5">
        <v>12356094</v>
      </c>
      <c r="O19">
        <v>103429449419.28</v>
      </c>
      <c r="P19">
        <v>16581538336.090002</v>
      </c>
      <c r="Q19">
        <f t="shared" si="14"/>
        <v>4588.7441769391553</v>
      </c>
      <c r="R19">
        <f t="shared" si="12"/>
        <v>1341.9724984359946</v>
      </c>
      <c r="S19">
        <f t="shared" si="15"/>
        <v>102.89395926140037</v>
      </c>
      <c r="T19">
        <f t="shared" si="13"/>
        <v>4252.9576809788641</v>
      </c>
      <c r="Y19" s="110">
        <v>18</v>
      </c>
      <c r="Z19" s="111" t="s">
        <v>31</v>
      </c>
      <c r="AA19" s="93">
        <v>3879</v>
      </c>
      <c r="AB19" s="93">
        <v>4.2094660800000003</v>
      </c>
      <c r="AC19" s="93">
        <v>25958.571356</v>
      </c>
      <c r="AD19" s="112">
        <v>2311.1016979999999</v>
      </c>
      <c r="AJ19" s="4" t="s">
        <v>45</v>
      </c>
      <c r="AK19" s="93">
        <v>749.03686000000005</v>
      </c>
      <c r="AL19" s="93">
        <v>305.48077599999999</v>
      </c>
      <c r="AQ19" s="4" t="s">
        <v>31</v>
      </c>
      <c r="AR19" s="93">
        <v>3775</v>
      </c>
      <c r="AS19" s="6">
        <v>0</v>
      </c>
      <c r="AT19" s="122">
        <v>0</v>
      </c>
      <c r="AU19" s="5">
        <v>4209466.08</v>
      </c>
      <c r="AV19" s="5">
        <f t="shared" si="8"/>
        <v>4209466.08</v>
      </c>
      <c r="AW19" s="5">
        <f t="shared" si="9"/>
        <v>1115.0903523178808</v>
      </c>
      <c r="AX19" s="5">
        <f t="shared" si="10"/>
        <v>1115.0903523178808</v>
      </c>
      <c r="AY19" s="118">
        <f t="shared" si="1"/>
        <v>0</v>
      </c>
      <c r="AZ19" s="93">
        <v>10842652</v>
      </c>
      <c r="BA19" s="6">
        <v>2311.1016979999999</v>
      </c>
      <c r="BB19" s="5">
        <f t="shared" si="2"/>
        <v>25958571356</v>
      </c>
      <c r="BC19" s="119">
        <v>2311101698</v>
      </c>
      <c r="BD19" s="122">
        <f t="shared" si="3"/>
        <v>28269673054</v>
      </c>
      <c r="BE19" s="123">
        <f t="shared" si="4"/>
        <v>213.14911683968091</v>
      </c>
      <c r="BF19" s="123">
        <f t="shared" si="5"/>
        <v>2607.2655521914749</v>
      </c>
      <c r="BG19" s="124">
        <f t="shared" si="6"/>
        <v>11.232119892631397</v>
      </c>
      <c r="BK19">
        <f t="shared" si="11"/>
        <v>4209466080000</v>
      </c>
      <c r="BL19">
        <f t="shared" si="7"/>
        <v>2311101698</v>
      </c>
      <c r="BM19">
        <f t="shared" si="0"/>
        <v>0</v>
      </c>
      <c r="BN19" s="6">
        <v>25958.571356</v>
      </c>
      <c r="BP19" s="60"/>
      <c r="BQ19" s="61"/>
      <c r="BR19" s="103"/>
    </row>
    <row r="20" spans="1:70" x14ac:dyDescent="0.25">
      <c r="A20" s="3">
        <v>15</v>
      </c>
      <c r="B20" s="4" t="s">
        <v>28</v>
      </c>
      <c r="C20" s="5">
        <v>3880</v>
      </c>
      <c r="D20" s="5">
        <v>398</v>
      </c>
      <c r="E20" s="5">
        <v>8033</v>
      </c>
      <c r="F20" s="5">
        <v>0</v>
      </c>
      <c r="G20" s="5">
        <v>85050</v>
      </c>
      <c r="H20" s="5">
        <v>3405</v>
      </c>
      <c r="I20" s="5">
        <v>153602</v>
      </c>
      <c r="J20" s="125">
        <v>11485595.68</v>
      </c>
      <c r="K20" s="125">
        <v>351019363.5</v>
      </c>
      <c r="L20" s="5">
        <v>16143972</v>
      </c>
      <c r="M20" s="5">
        <v>8275343</v>
      </c>
      <c r="N20" s="5">
        <v>4012896</v>
      </c>
      <c r="O20">
        <v>32874429077</v>
      </c>
      <c r="P20">
        <v>4863230542</v>
      </c>
      <c r="Q20">
        <f t="shared" si="14"/>
        <v>3972.5760100819989</v>
      </c>
      <c r="R20">
        <f t="shared" si="12"/>
        <v>1211.9004683899109</v>
      </c>
      <c r="S20">
        <f t="shared" si="15"/>
        <v>135.04521669606115</v>
      </c>
      <c r="T20">
        <f t="shared" si="13"/>
        <v>4127.2117989417993</v>
      </c>
      <c r="Y20" s="110">
        <v>19</v>
      </c>
      <c r="Z20" s="111" t="s">
        <v>98</v>
      </c>
      <c r="AA20" s="93">
        <v>7070</v>
      </c>
      <c r="AB20" s="93">
        <v>307.72579123000003</v>
      </c>
      <c r="AC20" s="93">
        <v>18629.100988999999</v>
      </c>
      <c r="AD20" s="112">
        <v>2940.5162559999999</v>
      </c>
      <c r="AJ20" s="4" t="s">
        <v>30</v>
      </c>
      <c r="AK20" s="93">
        <v>525.00841686000001</v>
      </c>
      <c r="AL20" s="93">
        <v>7803.76190993</v>
      </c>
      <c r="AQ20" s="4" t="s">
        <v>98</v>
      </c>
      <c r="AR20" s="93">
        <v>60837</v>
      </c>
      <c r="AS20" s="6">
        <v>47.824913639999998</v>
      </c>
      <c r="AT20" s="122">
        <v>47824913.640000001</v>
      </c>
      <c r="AU20" s="5">
        <v>307725791.23000002</v>
      </c>
      <c r="AV20" s="5">
        <f t="shared" si="8"/>
        <v>355550704.87</v>
      </c>
      <c r="AW20" s="5">
        <f t="shared" si="9"/>
        <v>5058.2012793201511</v>
      </c>
      <c r="AX20" s="5">
        <f t="shared" si="10"/>
        <v>5844.3168609563263</v>
      </c>
      <c r="AY20" s="118">
        <f t="shared" si="1"/>
        <v>0.15541405693959123</v>
      </c>
      <c r="AZ20" s="93">
        <v>6503641</v>
      </c>
      <c r="BA20" s="6">
        <v>2940.5162559999999</v>
      </c>
      <c r="BB20" s="5">
        <f t="shared" si="2"/>
        <v>18629100989</v>
      </c>
      <c r="BC20" s="119">
        <v>2940516256</v>
      </c>
      <c r="BD20" s="122">
        <f t="shared" si="3"/>
        <v>21569617245</v>
      </c>
      <c r="BE20" s="123">
        <f t="shared" si="4"/>
        <v>452.13385179163487</v>
      </c>
      <c r="BF20" s="123">
        <f t="shared" si="5"/>
        <v>3316.5448777077331</v>
      </c>
      <c r="BG20" s="124">
        <f t="shared" si="6"/>
        <v>6.3353164434946079</v>
      </c>
      <c r="BK20">
        <f t="shared" si="11"/>
        <v>307725791230000</v>
      </c>
      <c r="BL20">
        <f t="shared" si="7"/>
        <v>2940516256</v>
      </c>
      <c r="BM20">
        <f t="shared" si="0"/>
        <v>47824913.640000001</v>
      </c>
      <c r="BN20" s="6">
        <v>18629.100988999999</v>
      </c>
      <c r="BP20" s="60"/>
      <c r="BQ20" s="61"/>
      <c r="BR20" s="103"/>
    </row>
    <row r="21" spans="1:70" x14ac:dyDescent="0.25">
      <c r="A21" s="3">
        <v>16</v>
      </c>
      <c r="B21" s="4" t="s">
        <v>29</v>
      </c>
      <c r="C21" s="5">
        <v>2143</v>
      </c>
      <c r="D21" s="5">
        <v>431</v>
      </c>
      <c r="E21" s="5">
        <v>5294</v>
      </c>
      <c r="F21" s="5">
        <v>0</v>
      </c>
      <c r="G21" s="5">
        <v>0</v>
      </c>
      <c r="H21" s="5">
        <v>0</v>
      </c>
      <c r="I21" s="5">
        <v>0</v>
      </c>
      <c r="J21" s="125">
        <v>0</v>
      </c>
      <c r="K21" s="125">
        <v>0</v>
      </c>
      <c r="L21" s="5">
        <v>10490655</v>
      </c>
      <c r="M21" s="5">
        <v>5216929</v>
      </c>
      <c r="N21" s="5">
        <v>2294830</v>
      </c>
      <c r="O21">
        <v>20874672486</v>
      </c>
      <c r="P21">
        <v>3193589938</v>
      </c>
      <c r="Q21">
        <f t="shared" si="14"/>
        <v>4001.3334446376402</v>
      </c>
      <c r="R21">
        <f t="shared" si="12"/>
        <v>1391.6455414998061</v>
      </c>
      <c r="S21" t="e">
        <f t="shared" si="15"/>
        <v>#DIV/0!</v>
      </c>
      <c r="T21" t="e">
        <f t="shared" si="13"/>
        <v>#DIV/0!</v>
      </c>
      <c r="Y21" s="110">
        <v>21</v>
      </c>
      <c r="Z21" s="111" t="s">
        <v>33</v>
      </c>
      <c r="AA21" s="93">
        <v>613877</v>
      </c>
      <c r="AB21" s="93">
        <v>75460.646885180002</v>
      </c>
      <c r="AC21" s="93">
        <v>1065905.2464041798</v>
      </c>
      <c r="AD21" s="112">
        <v>139835.28102996</v>
      </c>
      <c r="AJ21" s="4" t="s">
        <v>55</v>
      </c>
      <c r="AK21" s="93">
        <v>389.57521916000002</v>
      </c>
      <c r="AL21" s="93">
        <v>0</v>
      </c>
      <c r="AQ21" s="4" t="s">
        <v>32</v>
      </c>
      <c r="AR21" s="93">
        <v>28131</v>
      </c>
      <c r="AS21" s="6">
        <v>3.8865793599999998</v>
      </c>
      <c r="AT21" s="122">
        <v>3886579.36</v>
      </c>
      <c r="AU21" s="5">
        <v>342479481.68000001</v>
      </c>
      <c r="AV21" s="5">
        <f t="shared" si="8"/>
        <v>346366061.04000002</v>
      </c>
      <c r="AW21" s="5">
        <f t="shared" si="9"/>
        <v>12174.451021293235</v>
      </c>
      <c r="AX21" s="5">
        <f t="shared" si="10"/>
        <v>12312.611035512426</v>
      </c>
      <c r="AY21" s="118">
        <f t="shared" si="1"/>
        <v>1.1348356815231157E-2</v>
      </c>
      <c r="AZ21" s="93">
        <v>11441262</v>
      </c>
      <c r="BA21" s="6">
        <v>7124.7857290099992</v>
      </c>
      <c r="BB21" s="5">
        <f t="shared" si="2"/>
        <v>39353657273.57</v>
      </c>
      <c r="BC21" s="119">
        <v>7124785729.0099993</v>
      </c>
      <c r="BD21" s="122">
        <f t="shared" si="3"/>
        <v>46478443002.580002</v>
      </c>
      <c r="BE21" s="123">
        <f t="shared" si="4"/>
        <v>622.7272593713875</v>
      </c>
      <c r="BF21" s="123">
        <f t="shared" si="5"/>
        <v>4062.352824590504</v>
      </c>
      <c r="BG21" s="124">
        <f t="shared" si="6"/>
        <v>5.5234864275754516</v>
      </c>
      <c r="BK21">
        <f t="shared" si="11"/>
        <v>342479481680000</v>
      </c>
      <c r="BL21">
        <f t="shared" si="7"/>
        <v>7124785729.0099993</v>
      </c>
      <c r="BM21">
        <f t="shared" si="0"/>
        <v>3886579.36</v>
      </c>
      <c r="BN21" s="6">
        <v>39353.657273570003</v>
      </c>
      <c r="BP21" s="60"/>
      <c r="BQ21" s="61"/>
      <c r="BR21" s="103"/>
    </row>
    <row r="22" spans="1:70" x14ac:dyDescent="0.25">
      <c r="A22" s="3">
        <v>17</v>
      </c>
      <c r="B22" s="4" t="s">
        <v>30</v>
      </c>
      <c r="C22" s="5">
        <v>4545</v>
      </c>
      <c r="D22" s="5">
        <v>3099</v>
      </c>
      <c r="E22" s="5">
        <v>56820</v>
      </c>
      <c r="F22" s="5">
        <v>0</v>
      </c>
      <c r="G22" s="5">
        <v>200004</v>
      </c>
      <c r="H22" s="5">
        <v>3670</v>
      </c>
      <c r="I22" s="5">
        <v>193453</v>
      </c>
      <c r="J22" s="125">
        <v>18063345.59</v>
      </c>
      <c r="K22" s="125">
        <v>525008416.86000001</v>
      </c>
      <c r="L22" s="5">
        <v>22530851</v>
      </c>
      <c r="M22" s="5">
        <v>24199296</v>
      </c>
      <c r="N22" s="5">
        <v>6326398</v>
      </c>
      <c r="O22">
        <v>77098020136</v>
      </c>
      <c r="P22">
        <v>7803761909.9300003</v>
      </c>
      <c r="Q22">
        <f t="shared" si="14"/>
        <v>3185.9612831712129</v>
      </c>
      <c r="R22">
        <f t="shared" si="12"/>
        <v>1233.5237065277904</v>
      </c>
      <c r="S22">
        <f t="shared" si="15"/>
        <v>90.314921651566962</v>
      </c>
      <c r="T22">
        <f t="shared" si="13"/>
        <v>2624.9895845083097</v>
      </c>
      <c r="Y22" s="110">
        <v>24</v>
      </c>
      <c r="Z22" s="111" t="s">
        <v>36</v>
      </c>
      <c r="AA22" s="93">
        <v>0</v>
      </c>
      <c r="AB22" s="93">
        <v>0</v>
      </c>
      <c r="AC22" s="93">
        <v>1807.0923721400002</v>
      </c>
      <c r="AD22" s="112">
        <v>280.47587781999999</v>
      </c>
      <c r="AJ22" s="4" t="s">
        <v>22</v>
      </c>
      <c r="AK22" s="93">
        <v>370.40723220000007</v>
      </c>
      <c r="AL22" s="93">
        <v>4263.15175447</v>
      </c>
      <c r="AQ22" s="4" t="s">
        <v>33</v>
      </c>
      <c r="AR22" s="93">
        <v>6357785</v>
      </c>
      <c r="AS22" s="6">
        <v>511.29023599999999</v>
      </c>
      <c r="AT22" s="122">
        <v>511290236</v>
      </c>
      <c r="AU22" s="5">
        <v>75460646885.180008</v>
      </c>
      <c r="AV22" s="5">
        <f t="shared" si="8"/>
        <v>75971937121.180008</v>
      </c>
      <c r="AW22" s="5">
        <f t="shared" si="9"/>
        <v>11869.015212873666</v>
      </c>
      <c r="AX22" s="5">
        <f t="shared" si="10"/>
        <v>11949.434767168126</v>
      </c>
      <c r="AY22" s="118">
        <f t="shared" si="1"/>
        <v>6.7755877679921772E-3</v>
      </c>
      <c r="AZ22" s="93">
        <v>279796198</v>
      </c>
      <c r="BA22" s="6">
        <v>139835.28102996</v>
      </c>
      <c r="BB22" s="5">
        <f t="shared" si="2"/>
        <v>1065905246404.1798</v>
      </c>
      <c r="BC22" s="122">
        <v>139835281029.95999</v>
      </c>
      <c r="BD22" s="122">
        <f t="shared" si="3"/>
        <v>1205740527434.1399</v>
      </c>
      <c r="BE22" s="123">
        <f t="shared" si="4"/>
        <v>499.77548669178123</v>
      </c>
      <c r="BF22" s="123">
        <f t="shared" si="5"/>
        <v>4309.3527934005015</v>
      </c>
      <c r="BG22" s="124">
        <f t="shared" si="6"/>
        <v>7.6225773535350321</v>
      </c>
      <c r="BK22">
        <f t="shared" si="11"/>
        <v>7.546064688518E+16</v>
      </c>
      <c r="BL22">
        <f t="shared" si="7"/>
        <v>139835281029.95999</v>
      </c>
      <c r="BM22">
        <f t="shared" si="0"/>
        <v>511290236</v>
      </c>
      <c r="BN22" s="6">
        <v>1065905.2464041798</v>
      </c>
      <c r="BP22" s="60"/>
      <c r="BQ22" s="61"/>
      <c r="BR22" s="103"/>
    </row>
    <row r="23" spans="1:70" x14ac:dyDescent="0.25">
      <c r="A23" s="3">
        <v>18</v>
      </c>
      <c r="B23" s="4" t="s">
        <v>31</v>
      </c>
      <c r="C23" s="5">
        <v>1037</v>
      </c>
      <c r="D23" s="5">
        <v>1103</v>
      </c>
      <c r="E23" s="5">
        <v>3879</v>
      </c>
      <c r="F23" s="5">
        <v>0</v>
      </c>
      <c r="G23" s="5">
        <v>3775</v>
      </c>
      <c r="H23" s="5">
        <v>0</v>
      </c>
      <c r="I23" s="5">
        <v>2207</v>
      </c>
      <c r="J23" s="125">
        <v>0</v>
      </c>
      <c r="K23" s="125">
        <v>4209466.08</v>
      </c>
      <c r="L23" s="5">
        <v>10842652</v>
      </c>
      <c r="M23" s="5">
        <v>6749839</v>
      </c>
      <c r="N23" s="5">
        <v>1690005</v>
      </c>
      <c r="O23">
        <v>25958571356</v>
      </c>
      <c r="P23">
        <v>2311101698</v>
      </c>
      <c r="Q23">
        <f t="shared" si="14"/>
        <v>3845.8060045580346</v>
      </c>
      <c r="R23">
        <f t="shared" si="12"/>
        <v>1367.5117517403794</v>
      </c>
      <c r="S23">
        <f t="shared" si="15"/>
        <v>0</v>
      </c>
      <c r="T23">
        <f t="shared" si="13"/>
        <v>1115.0903523178808</v>
      </c>
      <c r="Y23" s="113">
        <v>33</v>
      </c>
      <c r="Z23" s="114" t="s">
        <v>45</v>
      </c>
      <c r="AA23" s="94">
        <v>14833</v>
      </c>
      <c r="AB23" s="94">
        <v>749.03686000000005</v>
      </c>
      <c r="AC23" s="94">
        <v>24381.071397</v>
      </c>
      <c r="AD23" s="115">
        <v>305.48077599999999</v>
      </c>
      <c r="AJ23" s="4" t="s">
        <v>21</v>
      </c>
      <c r="AK23" s="93">
        <v>365.06232647000002</v>
      </c>
      <c r="AL23" s="93">
        <v>6253.5093382499999</v>
      </c>
      <c r="AQ23" s="4" t="s">
        <v>34</v>
      </c>
      <c r="AR23" s="93">
        <v>4524738</v>
      </c>
      <c r="AS23" s="6">
        <v>340.20783699999998</v>
      </c>
      <c r="AT23" s="122">
        <v>340207837</v>
      </c>
      <c r="AU23" s="5">
        <v>46410753160</v>
      </c>
      <c r="AV23" s="5">
        <f t="shared" si="8"/>
        <v>46750960997</v>
      </c>
      <c r="AW23" s="5">
        <f t="shared" si="9"/>
        <v>10257.113927922457</v>
      </c>
      <c r="AX23" s="5">
        <f t="shared" si="10"/>
        <v>10332.302333748385</v>
      </c>
      <c r="AY23" s="118">
        <f t="shared" si="1"/>
        <v>7.3303666464350778E-3</v>
      </c>
      <c r="AZ23" s="93">
        <v>22613799</v>
      </c>
      <c r="BA23" s="6">
        <v>32863.875194392342</v>
      </c>
      <c r="BB23" s="5">
        <f t="shared" si="2"/>
        <v>127303152062.3</v>
      </c>
      <c r="BC23" s="119">
        <v>32863875194.392342</v>
      </c>
      <c r="BD23" s="122">
        <f t="shared" si="3"/>
        <v>160167027256.69235</v>
      </c>
      <c r="BE23" s="123">
        <f t="shared" si="4"/>
        <v>1453.2664411845326</v>
      </c>
      <c r="BF23" s="123">
        <f t="shared" si="5"/>
        <v>7082.7120757857783</v>
      </c>
      <c r="BG23" s="124">
        <f t="shared" si="6"/>
        <v>3.8736500582871654</v>
      </c>
      <c r="BK23">
        <f t="shared" si="11"/>
        <v>4.641075316E+16</v>
      </c>
      <c r="BL23">
        <f t="shared" si="7"/>
        <v>32863875194.392342</v>
      </c>
      <c r="BM23">
        <f t="shared" si="0"/>
        <v>340207837</v>
      </c>
      <c r="BN23" s="6">
        <v>127303.1520623</v>
      </c>
      <c r="BP23" s="60"/>
      <c r="BQ23" s="61"/>
      <c r="BR23" s="103"/>
    </row>
    <row r="24" spans="1:70" x14ac:dyDescent="0.25">
      <c r="A24" s="3">
        <v>19</v>
      </c>
      <c r="B24" s="4" t="s">
        <v>98</v>
      </c>
      <c r="C24" s="5">
        <v>1672</v>
      </c>
      <c r="D24" s="5">
        <v>490</v>
      </c>
      <c r="E24" s="5">
        <v>7070</v>
      </c>
      <c r="F24" s="5">
        <v>0</v>
      </c>
      <c r="G24" s="5">
        <v>60837</v>
      </c>
      <c r="H24" s="5">
        <v>9938</v>
      </c>
      <c r="I24" s="5">
        <v>190006</v>
      </c>
      <c r="J24" s="125">
        <v>47824913.640000001</v>
      </c>
      <c r="K24" s="125">
        <v>307725791.23000002</v>
      </c>
      <c r="L24" s="5">
        <v>6503641</v>
      </c>
      <c r="M24" s="5">
        <v>5716150</v>
      </c>
      <c r="N24" s="5">
        <v>1892729</v>
      </c>
      <c r="O24">
        <v>18629100989</v>
      </c>
      <c r="P24">
        <v>2940516256</v>
      </c>
      <c r="Q24">
        <f t="shared" si="14"/>
        <v>3259.0294147284449</v>
      </c>
      <c r="R24">
        <f t="shared" si="12"/>
        <v>1553.5854609930952</v>
      </c>
      <c r="S24">
        <f t="shared" si="15"/>
        <v>786.11558163617531</v>
      </c>
      <c r="T24">
        <f t="shared" si="13"/>
        <v>5058.2012793201511</v>
      </c>
      <c r="AJ24" s="4" t="s">
        <v>28</v>
      </c>
      <c r="AK24" s="93">
        <v>351.0193635</v>
      </c>
      <c r="AL24" s="93">
        <v>4863.2305420000002</v>
      </c>
      <c r="AQ24" s="4" t="s">
        <v>35</v>
      </c>
      <c r="AR24" s="93">
        <v>0</v>
      </c>
      <c r="AS24" s="6">
        <v>0</v>
      </c>
      <c r="AT24" s="122">
        <v>0</v>
      </c>
      <c r="AU24" s="5">
        <v>0</v>
      </c>
      <c r="AV24" s="5">
        <f t="shared" si="8"/>
        <v>0</v>
      </c>
      <c r="AW24" s="5" t="e">
        <f t="shared" si="9"/>
        <v>#DIV/0!</v>
      </c>
      <c r="AX24" s="5" t="e">
        <f t="shared" si="10"/>
        <v>#DIV/0!</v>
      </c>
      <c r="AY24" s="118" t="e">
        <f t="shared" ref="AY24:AY50" si="16">(AX24-AW24)/AW24</f>
        <v>#DIV/0!</v>
      </c>
      <c r="AZ24" s="93">
        <v>10624144</v>
      </c>
      <c r="BA24" s="6">
        <v>943.40077623000047</v>
      </c>
      <c r="BB24" s="5">
        <f t="shared" si="2"/>
        <v>12652275332</v>
      </c>
      <c r="BC24" s="119">
        <v>943400776.2300005</v>
      </c>
      <c r="BD24" s="122">
        <f t="shared" si="3"/>
        <v>13595676108.23</v>
      </c>
      <c r="BE24" s="123">
        <f t="shared" si="4"/>
        <v>88.797815262104933</v>
      </c>
      <c r="BF24" s="123">
        <f t="shared" si="5"/>
        <v>1279.6961438239166</v>
      </c>
      <c r="BG24" s="124">
        <f t="shared" si="6"/>
        <v>13.411347171623889</v>
      </c>
      <c r="BK24">
        <f t="shared" si="11"/>
        <v>0</v>
      </c>
      <c r="BL24">
        <f t="shared" si="7"/>
        <v>943400776.2300005</v>
      </c>
      <c r="BM24">
        <f t="shared" si="0"/>
        <v>0</v>
      </c>
      <c r="BN24" s="6">
        <v>12652.275331999999</v>
      </c>
      <c r="BP24" s="60"/>
      <c r="BQ24" s="61"/>
      <c r="BR24" s="103"/>
    </row>
    <row r="25" spans="1:70" x14ac:dyDescent="0.25">
      <c r="A25" s="3">
        <v>20</v>
      </c>
      <c r="B25" s="4" t="s">
        <v>32</v>
      </c>
      <c r="C25" s="5">
        <v>2199</v>
      </c>
      <c r="D25" s="5">
        <v>1569</v>
      </c>
      <c r="E25" s="5">
        <v>29741</v>
      </c>
      <c r="F25" s="5">
        <v>0</v>
      </c>
      <c r="G25" s="5">
        <v>28131</v>
      </c>
      <c r="H25" s="5">
        <v>802</v>
      </c>
      <c r="I25" s="5">
        <v>150176</v>
      </c>
      <c r="J25" s="125">
        <v>3886579.36</v>
      </c>
      <c r="K25" s="125">
        <v>342479481.68000001</v>
      </c>
      <c r="L25" s="5">
        <v>11441262</v>
      </c>
      <c r="M25" s="5">
        <v>8872007</v>
      </c>
      <c r="N25" s="5">
        <v>6520414</v>
      </c>
      <c r="O25">
        <v>39353657273.57</v>
      </c>
      <c r="P25">
        <v>7124785729.0099993</v>
      </c>
      <c r="Q25">
        <f t="shared" si="14"/>
        <v>4435.7108006756534</v>
      </c>
      <c r="R25">
        <f t="shared" si="12"/>
        <v>1092.6891649840024</v>
      </c>
      <c r="S25">
        <f t="shared" si="15"/>
        <v>138.16001421918878</v>
      </c>
      <c r="T25">
        <f t="shared" si="13"/>
        <v>12174.451021293235</v>
      </c>
      <c r="AJ25" s="4" t="s">
        <v>32</v>
      </c>
      <c r="AK25" s="93">
        <v>342.47948167999999</v>
      </c>
      <c r="AL25" s="93">
        <v>7124.7857290099992</v>
      </c>
      <c r="AQ25" s="4" t="s">
        <v>36</v>
      </c>
      <c r="AR25" s="93">
        <v>0</v>
      </c>
      <c r="AS25" s="6">
        <v>0</v>
      </c>
      <c r="AT25" s="122">
        <v>0</v>
      </c>
      <c r="AU25" s="5">
        <v>0</v>
      </c>
      <c r="AV25" s="5">
        <f t="shared" si="8"/>
        <v>0</v>
      </c>
      <c r="AW25" s="5" t="e">
        <f t="shared" si="9"/>
        <v>#DIV/0!</v>
      </c>
      <c r="AX25" s="5" t="e">
        <f t="shared" si="10"/>
        <v>#DIV/0!</v>
      </c>
      <c r="AY25" s="118" t="e">
        <f t="shared" si="16"/>
        <v>#DIV/0!</v>
      </c>
      <c r="AZ25" s="93">
        <v>1094848</v>
      </c>
      <c r="BA25" s="6">
        <v>280.47587781999999</v>
      </c>
      <c r="BB25" s="5">
        <f t="shared" si="2"/>
        <v>1807092372.1400001</v>
      </c>
      <c r="BC25" s="119">
        <v>280475877.81999999</v>
      </c>
      <c r="BD25" s="122">
        <f t="shared" si="3"/>
        <v>2087568249.96</v>
      </c>
      <c r="BE25" s="123">
        <f t="shared" si="4"/>
        <v>256.17791494344419</v>
      </c>
      <c r="BF25" s="123">
        <f t="shared" si="5"/>
        <v>1906.7196998670136</v>
      </c>
      <c r="BG25" s="124">
        <f t="shared" si="6"/>
        <v>6.4429511235890713</v>
      </c>
      <c r="BK25">
        <f t="shared" si="11"/>
        <v>0</v>
      </c>
      <c r="BL25">
        <f t="shared" si="7"/>
        <v>280475877.81999999</v>
      </c>
      <c r="BM25">
        <f t="shared" si="0"/>
        <v>0</v>
      </c>
      <c r="BN25" s="6">
        <v>1807.0923721400002</v>
      </c>
      <c r="BP25" s="60"/>
      <c r="BQ25" s="61"/>
      <c r="BR25" s="103"/>
    </row>
    <row r="26" spans="1:70" x14ac:dyDescent="0.25">
      <c r="A26" s="3">
        <v>21</v>
      </c>
      <c r="B26" s="4" t="s">
        <v>33</v>
      </c>
      <c r="C26" s="5">
        <v>26343</v>
      </c>
      <c r="D26" s="5">
        <v>32949</v>
      </c>
      <c r="E26" s="5">
        <v>613877</v>
      </c>
      <c r="F26" s="5">
        <v>0</v>
      </c>
      <c r="G26" s="5">
        <v>6357785</v>
      </c>
      <c r="H26" s="5">
        <v>129941</v>
      </c>
      <c r="I26" s="5">
        <v>21245813</v>
      </c>
      <c r="J26" s="125">
        <v>511290236</v>
      </c>
      <c r="K26" s="125">
        <v>75460646885.180008</v>
      </c>
      <c r="L26" s="5">
        <v>279796198</v>
      </c>
      <c r="M26" s="5">
        <v>362428635</v>
      </c>
      <c r="N26" s="5">
        <v>94602321</v>
      </c>
      <c r="O26">
        <v>1065905246404.1798</v>
      </c>
      <c r="P26">
        <v>139835281029.95999</v>
      </c>
      <c r="Q26">
        <f t="shared" si="14"/>
        <v>2941.0072589992228</v>
      </c>
      <c r="R26">
        <f t="shared" si="12"/>
        <v>1478.1379521329079</v>
      </c>
      <c r="S26">
        <f t="shared" si="15"/>
        <v>80.419554294459473</v>
      </c>
      <c r="T26">
        <f t="shared" si="13"/>
        <v>11869.015212873666</v>
      </c>
      <c r="AJ26" s="4" t="s">
        <v>23</v>
      </c>
      <c r="AK26" s="93">
        <v>324.5</v>
      </c>
      <c r="AL26" s="93">
        <v>6134.4</v>
      </c>
      <c r="AQ26" s="4" t="s">
        <v>37</v>
      </c>
      <c r="AR26" s="93">
        <v>5174</v>
      </c>
      <c r="AS26" s="6">
        <v>2.3601999999999999</v>
      </c>
      <c r="AT26" s="122">
        <v>2360200</v>
      </c>
      <c r="AU26" s="5">
        <v>49126318.789999999</v>
      </c>
      <c r="AV26" s="5">
        <f t="shared" si="8"/>
        <v>51486518.789999999</v>
      </c>
      <c r="AW26" s="5">
        <f t="shared" si="9"/>
        <v>9494.8432141476605</v>
      </c>
      <c r="AX26" s="5">
        <f t="shared" si="10"/>
        <v>9951.0086567452654</v>
      </c>
      <c r="AY26" s="118">
        <f t="shared" si="16"/>
        <v>4.804349395868926E-2</v>
      </c>
      <c r="AZ26" s="93">
        <v>1791188</v>
      </c>
      <c r="BA26" s="6">
        <v>954.30386682000005</v>
      </c>
      <c r="BB26" s="5">
        <f t="shared" si="2"/>
        <v>9410892048.6100006</v>
      </c>
      <c r="BC26" s="119">
        <v>954303866.82000005</v>
      </c>
      <c r="BD26" s="122">
        <f t="shared" si="3"/>
        <v>10365195915.43</v>
      </c>
      <c r="BE26" s="123">
        <f t="shared" si="4"/>
        <v>532.77705456936962</v>
      </c>
      <c r="BF26" s="123">
        <f t="shared" si="5"/>
        <v>5786.7716372764889</v>
      </c>
      <c r="BG26" s="124">
        <f t="shared" si="6"/>
        <v>9.8615256374991453</v>
      </c>
      <c r="BK26">
        <f t="shared" si="11"/>
        <v>49126318790000</v>
      </c>
      <c r="BL26">
        <f t="shared" si="7"/>
        <v>954303866.82000005</v>
      </c>
      <c r="BM26">
        <f t="shared" si="0"/>
        <v>2360200</v>
      </c>
      <c r="BN26" s="6">
        <v>9410.8920486100014</v>
      </c>
      <c r="BP26" s="60"/>
      <c r="BQ26" s="61"/>
      <c r="BR26" s="103"/>
    </row>
    <row r="27" spans="1:70" x14ac:dyDescent="0.25">
      <c r="A27" s="3">
        <v>22</v>
      </c>
      <c r="B27" s="4" t="s">
        <v>34</v>
      </c>
      <c r="C27" s="5">
        <v>2596</v>
      </c>
      <c r="D27" s="5">
        <v>11053</v>
      </c>
      <c r="E27" s="5">
        <v>505153</v>
      </c>
      <c r="F27" s="5">
        <v>0</v>
      </c>
      <c r="G27" s="5">
        <v>4524738</v>
      </c>
      <c r="H27" s="5">
        <v>82593</v>
      </c>
      <c r="I27" s="5">
        <v>12274499</v>
      </c>
      <c r="J27" s="125">
        <v>340207837</v>
      </c>
      <c r="K27" s="125">
        <v>46410753160</v>
      </c>
      <c r="L27" s="5">
        <v>22613799</v>
      </c>
      <c r="M27" s="5">
        <v>26267982</v>
      </c>
      <c r="N27" s="5">
        <v>22224131</v>
      </c>
      <c r="O27">
        <v>127303152062.3</v>
      </c>
      <c r="P27">
        <v>32863875194.392342</v>
      </c>
      <c r="Q27">
        <f t="shared" si="14"/>
        <v>4846.3240176691152</v>
      </c>
      <c r="R27">
        <f t="shared" si="12"/>
        <v>1478.7473667425891</v>
      </c>
      <c r="S27">
        <f t="shared" si="15"/>
        <v>75.188405825928484</v>
      </c>
      <c r="T27">
        <f t="shared" si="13"/>
        <v>10257.113927922457</v>
      </c>
      <c r="Y27" s="3"/>
      <c r="Z27" s="4"/>
      <c r="AA27" s="5"/>
      <c r="AB27" s="5"/>
      <c r="AC27" s="5"/>
      <c r="AD27" s="5"/>
      <c r="AE27" s="5"/>
      <c r="AF27" s="5"/>
      <c r="AJ27" s="4" t="s">
        <v>98</v>
      </c>
      <c r="AK27" s="93">
        <v>307.72579123000003</v>
      </c>
      <c r="AL27" s="93">
        <v>2940.5162559999999</v>
      </c>
      <c r="AQ27" s="4" t="s">
        <v>99</v>
      </c>
      <c r="AR27" s="93">
        <v>31686</v>
      </c>
      <c r="AS27" s="6">
        <v>16.892085000000002</v>
      </c>
      <c r="AT27" s="122">
        <v>16892085</v>
      </c>
      <c r="AU27" s="5">
        <v>62605264</v>
      </c>
      <c r="AV27" s="5">
        <f t="shared" si="8"/>
        <v>79497349</v>
      </c>
      <c r="AW27" s="5">
        <f t="shared" si="9"/>
        <v>1975.8020576910938</v>
      </c>
      <c r="AX27" s="5">
        <f t="shared" si="10"/>
        <v>2508.9108439058259</v>
      </c>
      <c r="AY27" s="118">
        <f t="shared" si="16"/>
        <v>0.2698189244917169</v>
      </c>
      <c r="AZ27" s="93">
        <v>561779</v>
      </c>
      <c r="BA27" s="6">
        <v>588.05544399999997</v>
      </c>
      <c r="BB27" s="5">
        <f t="shared" si="2"/>
        <v>2298892307</v>
      </c>
      <c r="BC27" s="119">
        <v>588055444</v>
      </c>
      <c r="BD27" s="122">
        <f t="shared" si="3"/>
        <v>2886947751</v>
      </c>
      <c r="BE27" s="123">
        <f t="shared" si="4"/>
        <v>1046.7736316238236</v>
      </c>
      <c r="BF27" s="123">
        <f t="shared" si="5"/>
        <v>5138.9385345482833</v>
      </c>
      <c r="BG27" s="124">
        <f t="shared" si="6"/>
        <v>3.9093121753329099</v>
      </c>
      <c r="BK27">
        <f t="shared" si="11"/>
        <v>62605264000000</v>
      </c>
      <c r="BL27">
        <f t="shared" si="7"/>
        <v>588055444</v>
      </c>
      <c r="BM27">
        <f t="shared" si="0"/>
        <v>16892085</v>
      </c>
      <c r="BN27" s="6">
        <v>2298.8923070000001</v>
      </c>
      <c r="BP27" s="60"/>
      <c r="BQ27" s="61"/>
      <c r="BR27" s="103"/>
    </row>
    <row r="28" spans="1:70" x14ac:dyDescent="0.25">
      <c r="A28" s="3">
        <v>23</v>
      </c>
      <c r="B28" s="4" t="s">
        <v>35</v>
      </c>
      <c r="C28" s="5">
        <v>472</v>
      </c>
      <c r="D28" s="5">
        <v>0</v>
      </c>
      <c r="E28" s="5">
        <v>21948</v>
      </c>
      <c r="F28" s="5">
        <v>0</v>
      </c>
      <c r="G28" s="5">
        <v>0</v>
      </c>
      <c r="H28" s="5">
        <v>0</v>
      </c>
      <c r="I28" s="5">
        <v>0</v>
      </c>
      <c r="J28" s="125">
        <v>0</v>
      </c>
      <c r="K28" s="125">
        <v>0</v>
      </c>
      <c r="L28" s="5">
        <v>10624144</v>
      </c>
      <c r="M28" s="5">
        <v>4124037</v>
      </c>
      <c r="N28" s="5">
        <v>596324</v>
      </c>
      <c r="O28">
        <v>12652275332</v>
      </c>
      <c r="P28">
        <v>943400776.2300005</v>
      </c>
      <c r="Q28">
        <f t="shared" si="14"/>
        <v>3067.9344855538397</v>
      </c>
      <c r="R28">
        <f t="shared" si="12"/>
        <v>1582.0271802409436</v>
      </c>
      <c r="S28" t="e">
        <f t="shared" si="15"/>
        <v>#DIV/0!</v>
      </c>
      <c r="T28" t="e">
        <f t="shared" si="13"/>
        <v>#DIV/0!</v>
      </c>
      <c r="Y28" s="3"/>
      <c r="Z28" s="4"/>
      <c r="AA28" s="5"/>
      <c r="AB28" s="5"/>
      <c r="AC28" s="5"/>
      <c r="AD28" s="5"/>
      <c r="AE28" s="5"/>
      <c r="AF28" s="5"/>
      <c r="AJ28" s="4" t="s">
        <v>24</v>
      </c>
      <c r="AK28" s="93">
        <v>245.189708</v>
      </c>
      <c r="AL28" s="93">
        <v>5606.1768110000003</v>
      </c>
      <c r="AQ28" s="4" t="s">
        <v>39</v>
      </c>
      <c r="AR28" s="93">
        <v>7581</v>
      </c>
      <c r="AS28" s="6">
        <v>0.37540000000000001</v>
      </c>
      <c r="AT28" s="122">
        <v>375400</v>
      </c>
      <c r="AU28" s="5">
        <v>33323341</v>
      </c>
      <c r="AV28" s="5">
        <f t="shared" si="8"/>
        <v>33698741</v>
      </c>
      <c r="AW28" s="5">
        <f t="shared" si="9"/>
        <v>4395.6392296530803</v>
      </c>
      <c r="AX28" s="5">
        <f t="shared" si="10"/>
        <v>4445.1577628281229</v>
      </c>
      <c r="AY28" s="118">
        <f t="shared" si="16"/>
        <v>1.1265377022069855E-2</v>
      </c>
      <c r="AZ28" s="93">
        <v>624288</v>
      </c>
      <c r="BA28" s="6">
        <v>338.08599800000002</v>
      </c>
      <c r="BB28" s="5">
        <f t="shared" si="2"/>
        <v>1888926050</v>
      </c>
      <c r="BC28" s="119">
        <v>338085998</v>
      </c>
      <c r="BD28" s="122">
        <f t="shared" si="3"/>
        <v>2227012048</v>
      </c>
      <c r="BE28" s="123">
        <f t="shared" si="4"/>
        <v>541.5545357271003</v>
      </c>
      <c r="BF28" s="123">
        <f t="shared" si="5"/>
        <v>3567.2831257368393</v>
      </c>
      <c r="BG28" s="124">
        <f t="shared" si="6"/>
        <v>5.5871170683619971</v>
      </c>
      <c r="BK28">
        <f t="shared" si="11"/>
        <v>33323341000000</v>
      </c>
      <c r="BL28">
        <f t="shared" si="7"/>
        <v>338085998</v>
      </c>
      <c r="BM28">
        <f t="shared" si="0"/>
        <v>375400</v>
      </c>
      <c r="BN28" s="6">
        <v>1888.92605</v>
      </c>
    </row>
    <row r="29" spans="1:70" x14ac:dyDescent="0.25">
      <c r="A29" s="3">
        <v>24</v>
      </c>
      <c r="B29" s="4" t="s">
        <v>36</v>
      </c>
      <c r="C29" s="5">
        <v>212</v>
      </c>
      <c r="D29" s="5">
        <v>43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125">
        <v>0</v>
      </c>
      <c r="K29" s="125">
        <v>0</v>
      </c>
      <c r="L29" s="5">
        <v>1094848</v>
      </c>
      <c r="M29" s="5">
        <v>557752</v>
      </c>
      <c r="N29" s="5">
        <v>153109</v>
      </c>
      <c r="O29">
        <v>1807092372.1400001</v>
      </c>
      <c r="P29">
        <v>280475877.81999999</v>
      </c>
      <c r="Q29">
        <f t="shared" si="14"/>
        <v>3239.9567767394828</v>
      </c>
      <c r="R29">
        <f t="shared" si="12"/>
        <v>1831.8706138763887</v>
      </c>
      <c r="S29" t="e">
        <f t="shared" si="15"/>
        <v>#DIV/0!</v>
      </c>
      <c r="T29" t="e">
        <f t="shared" si="13"/>
        <v>#DIV/0!</v>
      </c>
      <c r="Y29" s="3"/>
      <c r="Z29" s="4"/>
      <c r="AA29" s="5"/>
      <c r="AB29" s="5"/>
      <c r="AC29" s="5"/>
      <c r="AD29" s="5"/>
      <c r="AE29" s="5"/>
      <c r="AF29" s="5"/>
      <c r="AJ29" s="4" t="s">
        <v>51</v>
      </c>
      <c r="AK29" s="93">
        <v>120.26365853999999</v>
      </c>
      <c r="AL29" s="93">
        <v>618.66823939999995</v>
      </c>
      <c r="AQ29" s="4" t="s">
        <v>40</v>
      </c>
      <c r="AR29" s="93">
        <v>0</v>
      </c>
      <c r="AS29" s="6">
        <v>0</v>
      </c>
      <c r="AT29" s="122">
        <v>0</v>
      </c>
      <c r="AU29" s="5">
        <v>0</v>
      </c>
      <c r="AV29" s="5">
        <f t="shared" si="8"/>
        <v>0</v>
      </c>
      <c r="AW29" s="5" t="e">
        <f t="shared" si="9"/>
        <v>#DIV/0!</v>
      </c>
      <c r="AX29" s="5" t="e">
        <f t="shared" si="10"/>
        <v>#DIV/0!</v>
      </c>
      <c r="AY29" s="118" t="e">
        <f t="shared" si="16"/>
        <v>#DIV/0!</v>
      </c>
      <c r="AZ29" s="93">
        <v>6645047</v>
      </c>
      <c r="BA29" s="6">
        <v>4653.887739419999</v>
      </c>
      <c r="BB29" s="5">
        <f t="shared" si="2"/>
        <v>32405845656.32</v>
      </c>
      <c r="BC29" s="119">
        <v>4653887739.4199991</v>
      </c>
      <c r="BD29" s="122">
        <f t="shared" si="3"/>
        <v>37059733395.739998</v>
      </c>
      <c r="BE29" s="123">
        <f t="shared" si="4"/>
        <v>700.35437513384011</v>
      </c>
      <c r="BF29" s="123">
        <f t="shared" si="5"/>
        <v>5577.0460909817493</v>
      </c>
      <c r="BG29" s="124">
        <f t="shared" si="6"/>
        <v>6.9631773413508791</v>
      </c>
      <c r="BK29">
        <f t="shared" si="11"/>
        <v>0</v>
      </c>
      <c r="BL29">
        <f t="shared" si="7"/>
        <v>4653887739.4199991</v>
      </c>
      <c r="BM29">
        <f t="shared" si="0"/>
        <v>0</v>
      </c>
      <c r="BN29" s="6">
        <v>32405.845656319998</v>
      </c>
    </row>
    <row r="30" spans="1:70" x14ac:dyDescent="0.25">
      <c r="A30" s="3">
        <v>25</v>
      </c>
      <c r="B30" s="4" t="s">
        <v>37</v>
      </c>
      <c r="C30" s="5">
        <v>923</v>
      </c>
      <c r="D30" s="5">
        <v>706</v>
      </c>
      <c r="E30" s="5">
        <v>9911</v>
      </c>
      <c r="F30" s="5">
        <v>0</v>
      </c>
      <c r="G30" s="5">
        <v>5174</v>
      </c>
      <c r="H30" s="5">
        <v>526</v>
      </c>
      <c r="I30" s="5">
        <v>17370</v>
      </c>
      <c r="J30" s="125">
        <v>2360200</v>
      </c>
      <c r="K30" s="125">
        <v>49126318.789999999</v>
      </c>
      <c r="L30" s="5">
        <v>1791188</v>
      </c>
      <c r="M30" s="5">
        <v>2127696</v>
      </c>
      <c r="N30" s="5">
        <v>730793</v>
      </c>
      <c r="O30">
        <v>9410892048.6100006</v>
      </c>
      <c r="P30">
        <v>954303866.82000005</v>
      </c>
      <c r="Q30">
        <f t="shared" si="14"/>
        <v>4423.0435403412894</v>
      </c>
      <c r="R30">
        <f t="shared" si="12"/>
        <v>1305.8470275714192</v>
      </c>
      <c r="S30">
        <f t="shared" si="15"/>
        <v>456.16544259760337</v>
      </c>
      <c r="T30">
        <f t="shared" si="13"/>
        <v>9494.8432141476605</v>
      </c>
      <c r="Y30" s="3"/>
      <c r="Z30" s="4"/>
      <c r="AA30" s="5"/>
      <c r="AB30" s="5"/>
      <c r="AC30" s="5"/>
      <c r="AD30" s="5"/>
      <c r="AE30" s="5"/>
      <c r="AF30" s="5"/>
      <c r="AG30" s="6"/>
      <c r="AH30" s="6"/>
      <c r="AJ30" s="4" t="s">
        <v>99</v>
      </c>
      <c r="AK30" s="93">
        <v>62.605263999999998</v>
      </c>
      <c r="AL30" s="93">
        <v>588.05544399999997</v>
      </c>
      <c r="AQ30" s="4" t="s">
        <v>41</v>
      </c>
      <c r="AR30" s="93">
        <v>10794694</v>
      </c>
      <c r="AS30" s="6">
        <v>932.99281070000006</v>
      </c>
      <c r="AT30" s="122">
        <v>932992810.70000005</v>
      </c>
      <c r="AU30" s="5">
        <v>122059993801</v>
      </c>
      <c r="AV30" s="5">
        <f t="shared" si="8"/>
        <v>122992986611.7</v>
      </c>
      <c r="AW30" s="5">
        <f t="shared" si="9"/>
        <v>11307.40656483639</v>
      </c>
      <c r="AX30" s="5">
        <f t="shared" si="10"/>
        <v>11393.837251125413</v>
      </c>
      <c r="AY30" s="118">
        <f t="shared" si="16"/>
        <v>7.6437232351584013E-3</v>
      </c>
      <c r="AZ30" s="93">
        <v>24537320</v>
      </c>
      <c r="BA30" s="6">
        <v>56155.270790000002</v>
      </c>
      <c r="BB30" s="5">
        <f t="shared" si="2"/>
        <v>171070214763.77002</v>
      </c>
      <c r="BC30" s="119">
        <v>56155270790</v>
      </c>
      <c r="BD30" s="122">
        <f t="shared" si="3"/>
        <v>227225485553.77002</v>
      </c>
      <c r="BE30" s="123">
        <f t="shared" si="4"/>
        <v>2288.5657761320308</v>
      </c>
      <c r="BF30" s="123">
        <f t="shared" si="5"/>
        <v>9260.4035629714253</v>
      </c>
      <c r="BG30" s="124">
        <f t="shared" si="6"/>
        <v>3.0463785920204982</v>
      </c>
      <c r="BK30">
        <f t="shared" si="11"/>
        <v>1.22059993801E+17</v>
      </c>
      <c r="BL30">
        <f t="shared" si="7"/>
        <v>56155270790</v>
      </c>
      <c r="BM30">
        <f t="shared" si="0"/>
        <v>932992810.70000005</v>
      </c>
      <c r="BN30" s="6">
        <v>171070.21476377003</v>
      </c>
    </row>
    <row r="31" spans="1:70" x14ac:dyDescent="0.25">
      <c r="A31" s="3">
        <v>26</v>
      </c>
      <c r="B31" s="4" t="s">
        <v>99</v>
      </c>
      <c r="C31" s="5">
        <v>281</v>
      </c>
      <c r="D31" s="5">
        <v>253</v>
      </c>
      <c r="E31" s="5">
        <v>1558</v>
      </c>
      <c r="F31" s="5">
        <v>0</v>
      </c>
      <c r="G31" s="5">
        <v>31686</v>
      </c>
      <c r="H31" s="5">
        <v>3225</v>
      </c>
      <c r="I31" s="5">
        <v>68521</v>
      </c>
      <c r="J31" s="125">
        <v>16892085</v>
      </c>
      <c r="K31" s="125">
        <v>62605264</v>
      </c>
      <c r="L31" s="5">
        <v>561779</v>
      </c>
      <c r="M31" s="5">
        <v>784369</v>
      </c>
      <c r="N31" s="5">
        <v>299488</v>
      </c>
      <c r="O31">
        <v>2298892307</v>
      </c>
      <c r="P31">
        <v>588055444</v>
      </c>
      <c r="Q31">
        <f t="shared" si="14"/>
        <v>2930.8811375768291</v>
      </c>
      <c r="R31">
        <f t="shared" si="12"/>
        <v>1963.5359146276312</v>
      </c>
      <c r="S31">
        <f t="shared" si="15"/>
        <v>533.10878621473205</v>
      </c>
      <c r="T31">
        <f t="shared" si="13"/>
        <v>1975.8020576910938</v>
      </c>
      <c r="Y31" s="3"/>
      <c r="Z31" s="4"/>
      <c r="AA31" s="5"/>
      <c r="AB31" s="5"/>
      <c r="AC31" s="5"/>
      <c r="AD31" s="5"/>
      <c r="AE31" s="5"/>
      <c r="AF31" s="5"/>
      <c r="AG31" s="6"/>
      <c r="AH31" s="6"/>
      <c r="AJ31" s="4" t="s">
        <v>37</v>
      </c>
      <c r="AK31" s="93">
        <v>49.126318789999999</v>
      </c>
      <c r="AL31" s="93">
        <v>954.30386682000005</v>
      </c>
      <c r="AQ31" s="4" t="s">
        <v>42</v>
      </c>
      <c r="AR31" s="93">
        <v>5030900</v>
      </c>
      <c r="AS31" s="6">
        <v>135.847972</v>
      </c>
      <c r="AT31" s="122">
        <v>135847972</v>
      </c>
      <c r="AU31" s="5">
        <v>53334154515</v>
      </c>
      <c r="AV31" s="5">
        <f t="shared" si="8"/>
        <v>53470002487</v>
      </c>
      <c r="AW31" s="5">
        <f t="shared" si="9"/>
        <v>10601.314777673975</v>
      </c>
      <c r="AX31" s="5">
        <f t="shared" si="10"/>
        <v>10628.317495279174</v>
      </c>
      <c r="AY31" s="118">
        <f t="shared" si="16"/>
        <v>2.5471102567453086E-3</v>
      </c>
      <c r="AZ31" s="93">
        <v>41993787</v>
      </c>
      <c r="BA31" s="6">
        <v>52894.216675999996</v>
      </c>
      <c r="BB31" s="5">
        <f t="shared" si="2"/>
        <v>161324621683</v>
      </c>
      <c r="BC31" s="119">
        <v>52894216676</v>
      </c>
      <c r="BD31" s="122">
        <f t="shared" si="3"/>
        <v>214218838359</v>
      </c>
      <c r="BE31" s="123">
        <f t="shared" si="4"/>
        <v>1259.57243808471</v>
      </c>
      <c r="BF31" s="123">
        <f t="shared" si="5"/>
        <v>5101.2031460511053</v>
      </c>
      <c r="BG31" s="124">
        <f t="shared" si="6"/>
        <v>3.0499482140208869</v>
      </c>
      <c r="BK31">
        <f t="shared" si="11"/>
        <v>5.3334154515E+16</v>
      </c>
      <c r="BL31">
        <f t="shared" si="7"/>
        <v>52894216676</v>
      </c>
      <c r="BM31">
        <f t="shared" si="0"/>
        <v>135847972</v>
      </c>
      <c r="BN31" s="6">
        <v>161324.621683</v>
      </c>
    </row>
    <row r="32" spans="1:70" x14ac:dyDescent="0.25">
      <c r="A32" s="3">
        <v>27</v>
      </c>
      <c r="B32" s="4" t="s">
        <v>39</v>
      </c>
      <c r="C32" s="5">
        <v>203</v>
      </c>
      <c r="D32" s="5">
        <v>143</v>
      </c>
      <c r="E32" s="5">
        <v>1074</v>
      </c>
      <c r="F32" s="5">
        <v>0</v>
      </c>
      <c r="G32" s="5">
        <v>7581</v>
      </c>
      <c r="H32" s="5">
        <v>93</v>
      </c>
      <c r="I32" s="5">
        <v>16147</v>
      </c>
      <c r="J32" s="125">
        <v>375400</v>
      </c>
      <c r="K32" s="125">
        <v>33323341</v>
      </c>
      <c r="L32" s="5">
        <v>624288</v>
      </c>
      <c r="M32" s="5">
        <v>552282</v>
      </c>
      <c r="N32" s="5">
        <v>213666</v>
      </c>
      <c r="O32">
        <v>1888926050</v>
      </c>
      <c r="P32">
        <v>338085998</v>
      </c>
      <c r="Q32">
        <f t="shared" si="14"/>
        <v>3420.2201954798456</v>
      </c>
      <c r="R32">
        <f t="shared" si="12"/>
        <v>1582.3106998773787</v>
      </c>
      <c r="S32">
        <f t="shared" si="15"/>
        <v>49.518533175042869</v>
      </c>
      <c r="T32">
        <f t="shared" si="13"/>
        <v>4395.6392296530803</v>
      </c>
      <c r="Y32" s="3"/>
      <c r="Z32" s="4"/>
      <c r="AA32" s="5"/>
      <c r="AB32" s="5"/>
      <c r="AC32" s="5"/>
      <c r="AD32" s="5"/>
      <c r="AE32" s="5"/>
      <c r="AF32" s="5"/>
      <c r="AG32" s="6"/>
      <c r="AH32" s="6"/>
      <c r="AJ32" s="4" t="s">
        <v>39</v>
      </c>
      <c r="AK32" s="93">
        <v>33.323340999999999</v>
      </c>
      <c r="AL32" s="93">
        <v>338.08599800000002</v>
      </c>
      <c r="AQ32" s="4" t="s">
        <v>43</v>
      </c>
      <c r="AR32" s="93">
        <v>0</v>
      </c>
      <c r="AS32" s="6">
        <v>0</v>
      </c>
      <c r="AT32" s="122">
        <v>0</v>
      </c>
      <c r="AU32" s="5">
        <v>0</v>
      </c>
      <c r="AV32" s="5">
        <f t="shared" si="8"/>
        <v>0</v>
      </c>
      <c r="AW32" s="5" t="e">
        <f t="shared" si="9"/>
        <v>#DIV/0!</v>
      </c>
      <c r="AX32" s="5" t="e">
        <f t="shared" si="10"/>
        <v>#DIV/0!</v>
      </c>
      <c r="AY32" s="118" t="e">
        <f t="shared" si="16"/>
        <v>#DIV/0!</v>
      </c>
      <c r="AZ32" s="93">
        <v>943946</v>
      </c>
      <c r="BA32" s="6">
        <v>661.57491075999997</v>
      </c>
      <c r="BB32" s="5">
        <f t="shared" si="2"/>
        <v>5394375612.9499998</v>
      </c>
      <c r="BC32" s="119">
        <v>661574910.75999999</v>
      </c>
      <c r="BD32" s="122">
        <f t="shared" si="3"/>
        <v>6055950523.71</v>
      </c>
      <c r="BE32" s="123">
        <f t="shared" si="4"/>
        <v>700.860971665752</v>
      </c>
      <c r="BF32" s="123">
        <f t="shared" si="5"/>
        <v>6415.5688182480781</v>
      </c>
      <c r="BG32" s="124">
        <f t="shared" si="6"/>
        <v>8.1538394597719588</v>
      </c>
      <c r="BK32">
        <f t="shared" si="11"/>
        <v>0</v>
      </c>
      <c r="BL32">
        <f t="shared" si="7"/>
        <v>661574910.75999999</v>
      </c>
      <c r="BM32">
        <f t="shared" si="0"/>
        <v>0</v>
      </c>
      <c r="BN32" s="6">
        <v>5394.3756129499998</v>
      </c>
    </row>
    <row r="33" spans="1:66" x14ac:dyDescent="0.25">
      <c r="A33" s="3">
        <v>28</v>
      </c>
      <c r="B33" s="4" t="s">
        <v>40</v>
      </c>
      <c r="C33" s="5">
        <v>1194</v>
      </c>
      <c r="D33" s="5">
        <v>504</v>
      </c>
      <c r="E33" s="5">
        <v>11209</v>
      </c>
      <c r="F33" s="5">
        <v>0</v>
      </c>
      <c r="G33" s="5">
        <v>0</v>
      </c>
      <c r="H33" s="5">
        <v>0</v>
      </c>
      <c r="I33" s="5">
        <v>0</v>
      </c>
      <c r="J33" s="125">
        <v>0</v>
      </c>
      <c r="K33" s="125">
        <v>0</v>
      </c>
      <c r="L33" s="5">
        <v>6645047</v>
      </c>
      <c r="M33" s="5">
        <v>6237891</v>
      </c>
      <c r="N33" s="5">
        <v>2985135</v>
      </c>
      <c r="O33">
        <v>32405845656.32</v>
      </c>
      <c r="P33">
        <v>4653887739.4199991</v>
      </c>
      <c r="Q33">
        <f t="shared" si="14"/>
        <v>5195.0003064048406</v>
      </c>
      <c r="R33">
        <f t="shared" si="12"/>
        <v>1559.0208615087756</v>
      </c>
      <c r="S33" t="e">
        <f t="shared" si="15"/>
        <v>#DIV/0!</v>
      </c>
      <c r="T33" t="e">
        <f t="shared" si="13"/>
        <v>#DIV/0!</v>
      </c>
      <c r="Y33" s="3"/>
      <c r="Z33" s="4"/>
      <c r="AA33" s="5"/>
      <c r="AB33" s="5"/>
      <c r="AC33" s="5"/>
      <c r="AD33" s="5"/>
      <c r="AE33" s="5"/>
      <c r="AF33" s="5"/>
      <c r="AG33" s="6"/>
      <c r="AH33" s="6"/>
      <c r="AJ33" s="4" t="s">
        <v>31</v>
      </c>
      <c r="AK33" s="93">
        <v>4.2094660800000003</v>
      </c>
      <c r="AL33" s="93">
        <v>2311.1016979999999</v>
      </c>
      <c r="AQ33" s="4" t="s">
        <v>44</v>
      </c>
      <c r="AR33" s="93">
        <v>801948</v>
      </c>
      <c r="AS33" s="6">
        <v>73.729114890000005</v>
      </c>
      <c r="AT33" s="122">
        <v>73729114.890000001</v>
      </c>
      <c r="AU33" s="5">
        <v>16416653199.27</v>
      </c>
      <c r="AV33" s="5">
        <f t="shared" si="8"/>
        <v>16490382314.16</v>
      </c>
      <c r="AW33" s="5">
        <f t="shared" si="9"/>
        <v>20470.969687897472</v>
      </c>
      <c r="AX33" s="5">
        <f t="shared" si="10"/>
        <v>20562.9072136348</v>
      </c>
      <c r="AY33" s="118">
        <f t="shared" si="16"/>
        <v>4.4911172816440841E-3</v>
      </c>
      <c r="AZ33" s="93">
        <v>3888438</v>
      </c>
      <c r="BA33" s="6">
        <v>3360.4790384299999</v>
      </c>
      <c r="BB33" s="5">
        <f t="shared" si="2"/>
        <v>13353995940.43</v>
      </c>
      <c r="BC33" s="119">
        <v>3360479038.4299998</v>
      </c>
      <c r="BD33" s="122">
        <f t="shared" si="3"/>
        <v>16714474978.860001</v>
      </c>
      <c r="BE33" s="123">
        <f t="shared" si="4"/>
        <v>864.22338183867146</v>
      </c>
      <c r="BF33" s="123">
        <f t="shared" si="5"/>
        <v>4298.5062328009344</v>
      </c>
      <c r="BG33" s="124">
        <f t="shared" si="6"/>
        <v>3.9738369999382366</v>
      </c>
      <c r="BK33">
        <f t="shared" si="11"/>
        <v>1.641665319927E+16</v>
      </c>
      <c r="BL33">
        <f t="shared" si="7"/>
        <v>3360479038.4299998</v>
      </c>
      <c r="BM33">
        <f t="shared" si="0"/>
        <v>73729114.890000001</v>
      </c>
      <c r="BN33" s="6">
        <v>13353.995940430001</v>
      </c>
    </row>
    <row r="34" spans="1:66" x14ac:dyDescent="0.25">
      <c r="A34" s="3">
        <v>29</v>
      </c>
      <c r="B34" s="4" t="s">
        <v>41</v>
      </c>
      <c r="C34" s="5">
        <v>5874</v>
      </c>
      <c r="D34" s="5">
        <v>6764</v>
      </c>
      <c r="E34" s="5">
        <v>408770</v>
      </c>
      <c r="F34" s="5">
        <v>0</v>
      </c>
      <c r="G34" s="5">
        <v>10794694</v>
      </c>
      <c r="H34" s="5">
        <v>173027</v>
      </c>
      <c r="I34" s="5">
        <v>36781856</v>
      </c>
      <c r="J34" s="125">
        <v>932992810.70000005</v>
      </c>
      <c r="K34" s="125">
        <v>122059993801</v>
      </c>
      <c r="L34" s="5">
        <v>24537320</v>
      </c>
      <c r="M34" s="5">
        <v>33090783</v>
      </c>
      <c r="N34" s="5">
        <v>39690646</v>
      </c>
      <c r="O34">
        <v>171070214763.77002</v>
      </c>
      <c r="P34">
        <v>56155270790</v>
      </c>
      <c r="Q34">
        <f t="shared" si="14"/>
        <v>5169.723991232544</v>
      </c>
      <c r="R34">
        <f t="shared" si="12"/>
        <v>1414.8238048330077</v>
      </c>
      <c r="S34">
        <f t="shared" si="15"/>
        <v>86.430686289023114</v>
      </c>
      <c r="T34">
        <f t="shared" si="13"/>
        <v>11307.40656483639</v>
      </c>
      <c r="Y34" s="3"/>
      <c r="Z34" s="4"/>
      <c r="AA34" s="5"/>
      <c r="AB34" s="5"/>
      <c r="AC34" s="5"/>
      <c r="AD34" s="5"/>
      <c r="AE34" s="5"/>
      <c r="AF34" s="5"/>
      <c r="AG34" s="6"/>
      <c r="AH34" s="6"/>
      <c r="AJ34" s="4" t="s">
        <v>40</v>
      </c>
      <c r="AK34" s="93">
        <v>0</v>
      </c>
      <c r="AL34" s="93">
        <v>4653.887739419999</v>
      </c>
      <c r="AQ34" s="4" t="s">
        <v>45</v>
      </c>
      <c r="AR34" s="93">
        <v>129822</v>
      </c>
      <c r="AS34" s="6">
        <v>26.883421999999999</v>
      </c>
      <c r="AT34" s="122">
        <v>26883422</v>
      </c>
      <c r="AU34" s="5">
        <v>749036860</v>
      </c>
      <c r="AV34" s="5">
        <f t="shared" si="8"/>
        <v>775920282</v>
      </c>
      <c r="AW34" s="5">
        <f t="shared" si="9"/>
        <v>5769.7220810032195</v>
      </c>
      <c r="AX34" s="5">
        <f t="shared" si="10"/>
        <v>5976.8011739150534</v>
      </c>
      <c r="AY34" s="118">
        <f t="shared" si="16"/>
        <v>3.5890652964661977E-2</v>
      </c>
      <c r="AZ34" s="93">
        <v>3779314</v>
      </c>
      <c r="BA34" s="6">
        <v>305.48077599999999</v>
      </c>
      <c r="BB34" s="5">
        <f t="shared" si="2"/>
        <v>24381071397</v>
      </c>
      <c r="BC34" s="119">
        <v>305480776</v>
      </c>
      <c r="BD34" s="122">
        <f t="shared" si="3"/>
        <v>24686552173</v>
      </c>
      <c r="BE34" s="123">
        <f t="shared" si="4"/>
        <v>80.829689197563368</v>
      </c>
      <c r="BF34" s="123">
        <f t="shared" si="5"/>
        <v>6532.0193487495353</v>
      </c>
      <c r="BG34" s="124">
        <f t="shared" si="6"/>
        <v>79.812129968531963</v>
      </c>
      <c r="BK34">
        <f t="shared" si="11"/>
        <v>749036860000000</v>
      </c>
      <c r="BL34">
        <f t="shared" si="7"/>
        <v>305480776</v>
      </c>
      <c r="BM34">
        <f t="shared" ref="BM34:BM50" si="17">AS34*$AR$52</f>
        <v>26883422</v>
      </c>
      <c r="BN34" s="6">
        <v>24381.071397</v>
      </c>
    </row>
    <row r="35" spans="1:66" x14ac:dyDescent="0.25">
      <c r="A35" s="3">
        <v>30</v>
      </c>
      <c r="B35" s="4" t="s">
        <v>42</v>
      </c>
      <c r="C35" s="5">
        <v>5244</v>
      </c>
      <c r="D35" s="5">
        <v>9135</v>
      </c>
      <c r="E35" s="5">
        <v>329108</v>
      </c>
      <c r="F35" s="5">
        <v>0</v>
      </c>
      <c r="G35" s="5">
        <v>5030900</v>
      </c>
      <c r="H35" s="5">
        <v>38648</v>
      </c>
      <c r="I35" s="5">
        <v>18457317</v>
      </c>
      <c r="J35" s="125">
        <v>135847972</v>
      </c>
      <c r="K35" s="125">
        <v>53334154515</v>
      </c>
      <c r="L35" s="5">
        <v>41993787</v>
      </c>
      <c r="M35" s="5">
        <v>31609175</v>
      </c>
      <c r="N35" s="5">
        <v>36441706</v>
      </c>
      <c r="O35">
        <v>161324621683</v>
      </c>
      <c r="P35">
        <v>52894216676</v>
      </c>
      <c r="Q35">
        <f t="shared" si="14"/>
        <v>5103.7276892864174</v>
      </c>
      <c r="R35">
        <f t="shared" si="12"/>
        <v>1451.4747656435184</v>
      </c>
      <c r="S35">
        <f t="shared" si="15"/>
        <v>27.002717605199866</v>
      </c>
      <c r="T35">
        <f t="shared" si="13"/>
        <v>10601.314777673975</v>
      </c>
      <c r="Y35" s="3"/>
      <c r="Z35" s="4"/>
      <c r="AA35" s="5"/>
      <c r="AB35" s="5"/>
      <c r="AC35" s="5"/>
      <c r="AD35" s="5"/>
      <c r="AE35" s="5"/>
      <c r="AF35" s="5"/>
      <c r="AG35" s="6"/>
      <c r="AH35" s="6"/>
      <c r="AJ35" s="4" t="s">
        <v>19</v>
      </c>
      <c r="AK35" s="93">
        <v>0</v>
      </c>
      <c r="AL35" s="93">
        <v>4357.0583841600001</v>
      </c>
      <c r="AQ35" s="4" t="s">
        <v>46</v>
      </c>
      <c r="AR35" s="93">
        <v>0</v>
      </c>
      <c r="AS35" s="6">
        <v>0</v>
      </c>
      <c r="AT35" s="122">
        <v>0</v>
      </c>
      <c r="AU35" s="5">
        <v>0</v>
      </c>
      <c r="AV35" s="5">
        <f t="shared" si="8"/>
        <v>0</v>
      </c>
      <c r="AW35" s="5" t="e">
        <f t="shared" si="9"/>
        <v>#DIV/0!</v>
      </c>
      <c r="AX35" s="5" t="e">
        <f t="shared" si="10"/>
        <v>#DIV/0!</v>
      </c>
      <c r="AY35" s="118" t="e">
        <f t="shared" si="16"/>
        <v>#DIV/0!</v>
      </c>
      <c r="AZ35" s="93">
        <v>4432039</v>
      </c>
      <c r="BA35" s="6">
        <v>2783.0472490000002</v>
      </c>
      <c r="BB35" s="5">
        <f t="shared" si="2"/>
        <v>16751114742.000002</v>
      </c>
      <c r="BC35" s="119">
        <v>2783047249</v>
      </c>
      <c r="BD35" s="122">
        <f t="shared" si="3"/>
        <v>19534161991</v>
      </c>
      <c r="BE35" s="123">
        <f t="shared" si="4"/>
        <v>627.93834824106921</v>
      </c>
      <c r="BF35" s="123">
        <f t="shared" si="5"/>
        <v>4407.488740735359</v>
      </c>
      <c r="BG35" s="124">
        <f t="shared" si="6"/>
        <v>6.0189832378947141</v>
      </c>
      <c r="BK35">
        <f t="shared" si="11"/>
        <v>0</v>
      </c>
      <c r="BL35">
        <f t="shared" si="7"/>
        <v>2783047249</v>
      </c>
      <c r="BM35">
        <f t="shared" si="17"/>
        <v>0</v>
      </c>
      <c r="BN35" s="6">
        <v>16751.114742000002</v>
      </c>
    </row>
    <row r="36" spans="1:66" x14ac:dyDescent="0.25">
      <c r="A36" s="3">
        <v>31</v>
      </c>
      <c r="B36" s="4" t="s">
        <v>43</v>
      </c>
      <c r="C36" s="5">
        <v>53</v>
      </c>
      <c r="D36" s="5">
        <v>2</v>
      </c>
      <c r="E36" s="5">
        <v>1640</v>
      </c>
      <c r="F36" s="5">
        <v>0</v>
      </c>
      <c r="G36" s="5">
        <v>0</v>
      </c>
      <c r="H36" s="5">
        <v>0</v>
      </c>
      <c r="I36" s="5">
        <v>0</v>
      </c>
      <c r="J36" s="125">
        <v>0</v>
      </c>
      <c r="K36" s="125">
        <v>0</v>
      </c>
      <c r="L36" s="5">
        <v>943946</v>
      </c>
      <c r="M36" s="5">
        <v>1551640</v>
      </c>
      <c r="N36" s="5">
        <v>780981</v>
      </c>
      <c r="O36">
        <v>5394375612.9499998</v>
      </c>
      <c r="P36">
        <v>661574910.75999999</v>
      </c>
      <c r="Q36">
        <f t="shared" si="14"/>
        <v>3476.563902032688</v>
      </c>
      <c r="R36">
        <f t="shared" si="12"/>
        <v>847.10756184849561</v>
      </c>
      <c r="S36" t="e">
        <f t="shared" si="15"/>
        <v>#DIV/0!</v>
      </c>
      <c r="T36" t="e">
        <f t="shared" si="13"/>
        <v>#DIV/0!</v>
      </c>
      <c r="Y36" s="3"/>
      <c r="Z36" s="4"/>
      <c r="AA36" s="5"/>
      <c r="AB36" s="5"/>
      <c r="AC36" s="5"/>
      <c r="AD36" s="5"/>
      <c r="AE36" s="5"/>
      <c r="AF36" s="5"/>
      <c r="AG36" s="6"/>
      <c r="AH36" s="6"/>
      <c r="AJ36" s="4" t="s">
        <v>25</v>
      </c>
      <c r="AK36" s="93">
        <v>0</v>
      </c>
      <c r="AL36" s="93">
        <v>3365.50684</v>
      </c>
      <c r="AQ36" s="4" t="s">
        <v>47</v>
      </c>
      <c r="AR36" s="93">
        <v>0</v>
      </c>
      <c r="AS36" s="6">
        <v>0</v>
      </c>
      <c r="AT36" s="122">
        <v>0</v>
      </c>
      <c r="AU36" s="5">
        <v>0</v>
      </c>
      <c r="AV36" s="5">
        <f t="shared" si="8"/>
        <v>0</v>
      </c>
      <c r="AW36" s="5" t="e">
        <f t="shared" si="9"/>
        <v>#DIV/0!</v>
      </c>
      <c r="AX36" s="5" t="e">
        <f t="shared" si="10"/>
        <v>#DIV/0!</v>
      </c>
      <c r="AY36" s="118" t="e">
        <f t="shared" si="16"/>
        <v>#DIV/0!</v>
      </c>
      <c r="AZ36" s="93">
        <v>4317259</v>
      </c>
      <c r="BA36" s="6">
        <v>2762.9987385500003</v>
      </c>
      <c r="BB36" s="5">
        <f t="shared" si="2"/>
        <v>22953187218.540001</v>
      </c>
      <c r="BC36" s="119">
        <v>2762998738.5500002</v>
      </c>
      <c r="BD36" s="122">
        <f t="shared" si="3"/>
        <v>25716185957.09</v>
      </c>
      <c r="BE36" s="123">
        <f t="shared" si="4"/>
        <v>639.9891084945333</v>
      </c>
      <c r="BF36" s="123">
        <f t="shared" si="5"/>
        <v>5956.6002310933864</v>
      </c>
      <c r="BG36" s="124">
        <f t="shared" si="6"/>
        <v>8.3073462532906017</v>
      </c>
      <c r="BK36">
        <f t="shared" si="11"/>
        <v>0</v>
      </c>
      <c r="BL36">
        <f t="shared" si="7"/>
        <v>2762998738.5500002</v>
      </c>
      <c r="BM36">
        <f t="shared" si="17"/>
        <v>0</v>
      </c>
      <c r="BN36" s="6">
        <v>22953.187218540003</v>
      </c>
    </row>
    <row r="37" spans="1:66" x14ac:dyDescent="0.25">
      <c r="A37" s="3">
        <v>32</v>
      </c>
      <c r="B37" s="4" t="s">
        <v>44</v>
      </c>
      <c r="C37" s="5">
        <v>986</v>
      </c>
      <c r="D37" s="5">
        <v>1236</v>
      </c>
      <c r="E37" s="5">
        <v>35064</v>
      </c>
      <c r="F37" s="5">
        <v>0</v>
      </c>
      <c r="G37" s="5">
        <v>801948</v>
      </c>
      <c r="H37" s="5">
        <v>14369</v>
      </c>
      <c r="I37" s="5">
        <v>2586264</v>
      </c>
      <c r="J37" s="125">
        <v>73729114.890000001</v>
      </c>
      <c r="K37" s="125">
        <v>16416653199.27</v>
      </c>
      <c r="L37" s="5">
        <v>3888438</v>
      </c>
      <c r="M37" s="5">
        <v>2795922</v>
      </c>
      <c r="N37" s="5">
        <v>2136471</v>
      </c>
      <c r="O37">
        <v>13353995940.43</v>
      </c>
      <c r="P37">
        <v>3360479038.4299998</v>
      </c>
      <c r="Q37">
        <f t="shared" si="14"/>
        <v>4776.2405175931235</v>
      </c>
      <c r="R37">
        <f t="shared" si="12"/>
        <v>1572.9111410498901</v>
      </c>
      <c r="S37">
        <f t="shared" si="15"/>
        <v>91.937525737329608</v>
      </c>
      <c r="T37">
        <f t="shared" si="13"/>
        <v>20470.969687897472</v>
      </c>
      <c r="Y37" s="3"/>
      <c r="Z37" s="4"/>
      <c r="AA37" s="5"/>
      <c r="AB37" s="5"/>
      <c r="AC37" s="5"/>
      <c r="AD37" s="5"/>
      <c r="AE37" s="5"/>
      <c r="AF37" s="5"/>
      <c r="AG37" s="6"/>
      <c r="AH37" s="6"/>
      <c r="AJ37" s="4" t="s">
        <v>29</v>
      </c>
      <c r="AK37" s="93">
        <v>0</v>
      </c>
      <c r="AL37" s="93">
        <v>3193.5899380000001</v>
      </c>
      <c r="AQ37" s="4" t="s">
        <v>48</v>
      </c>
      <c r="AR37" s="93">
        <v>1502888</v>
      </c>
      <c r="AS37" s="6">
        <v>146.66357793</v>
      </c>
      <c r="AT37" s="122">
        <v>146663577.93000001</v>
      </c>
      <c r="AU37" s="5">
        <v>11415962289.620001</v>
      </c>
      <c r="AV37" s="5">
        <f t="shared" si="8"/>
        <v>11562625867.550001</v>
      </c>
      <c r="AW37" s="5">
        <f t="shared" si="9"/>
        <v>7596.0166623327896</v>
      </c>
      <c r="AX37" s="5">
        <f t="shared" si="10"/>
        <v>7693.6044918516891</v>
      </c>
      <c r="AY37" s="118">
        <f t="shared" si="16"/>
        <v>1.284723742153162E-2</v>
      </c>
      <c r="AZ37" s="93">
        <v>8598396</v>
      </c>
      <c r="BA37" s="6">
        <v>8905.1065494000013</v>
      </c>
      <c r="BB37" s="5">
        <f t="shared" si="2"/>
        <v>27545458957.149998</v>
      </c>
      <c r="BC37" s="119">
        <v>8905106549.4000015</v>
      </c>
      <c r="BD37" s="122">
        <f t="shared" si="3"/>
        <v>36450565506.550003</v>
      </c>
      <c r="BE37" s="123">
        <f t="shared" si="4"/>
        <v>1035.670670366892</v>
      </c>
      <c r="BF37" s="123">
        <f t="shared" si="5"/>
        <v>4239.2285150102416</v>
      </c>
      <c r="BG37" s="124">
        <f t="shared" si="6"/>
        <v>3.093220592515642</v>
      </c>
      <c r="BK37">
        <f t="shared" si="11"/>
        <v>1.141596228962E+16</v>
      </c>
      <c r="BL37">
        <f t="shared" si="7"/>
        <v>8905106549.4000015</v>
      </c>
      <c r="BM37">
        <f t="shared" si="17"/>
        <v>146663577.93000001</v>
      </c>
      <c r="BN37" s="6">
        <v>27545.458957149996</v>
      </c>
    </row>
    <row r="38" spans="1:66" x14ac:dyDescent="0.25">
      <c r="A38" s="3">
        <v>33</v>
      </c>
      <c r="B38" s="4" t="s">
        <v>45</v>
      </c>
      <c r="C38" s="5">
        <v>685</v>
      </c>
      <c r="D38" s="5">
        <v>517</v>
      </c>
      <c r="E38" s="5">
        <v>14833</v>
      </c>
      <c r="F38" s="5">
        <v>0</v>
      </c>
      <c r="G38" s="5">
        <v>129822</v>
      </c>
      <c r="H38" s="5">
        <v>8464</v>
      </c>
      <c r="I38" s="5">
        <v>200006</v>
      </c>
      <c r="J38" s="125">
        <v>26883422</v>
      </c>
      <c r="K38" s="125">
        <v>749036860</v>
      </c>
      <c r="L38" s="5">
        <v>3779314</v>
      </c>
      <c r="M38" s="5">
        <v>5330626</v>
      </c>
      <c r="N38" s="5">
        <v>108195</v>
      </c>
      <c r="O38">
        <v>24381071397</v>
      </c>
      <c r="P38">
        <v>305480776</v>
      </c>
      <c r="Q38">
        <f t="shared" si="14"/>
        <v>4573.7726482780818</v>
      </c>
      <c r="R38">
        <f t="shared" si="12"/>
        <v>2823.4278478672768</v>
      </c>
      <c r="S38">
        <f t="shared" si="15"/>
        <v>207.07909291183313</v>
      </c>
      <c r="T38">
        <f t="shared" si="13"/>
        <v>5769.7220810032195</v>
      </c>
      <c r="Y38" s="3"/>
      <c r="Z38" s="4"/>
      <c r="AA38" s="5"/>
      <c r="AB38" s="5"/>
      <c r="AC38" s="5"/>
      <c r="AD38" s="5"/>
      <c r="AE38" s="5"/>
      <c r="AF38" s="5"/>
      <c r="AG38" s="6"/>
      <c r="AH38" s="6"/>
      <c r="AJ38" s="4" t="s">
        <v>15</v>
      </c>
      <c r="AK38" s="93">
        <v>0</v>
      </c>
      <c r="AL38" s="93">
        <v>2905.1520976799998</v>
      </c>
      <c r="AQ38" s="4" t="s">
        <v>49</v>
      </c>
      <c r="AR38" s="93">
        <v>857193</v>
      </c>
      <c r="AS38" s="6">
        <v>311.53788098000001</v>
      </c>
      <c r="AT38" s="122">
        <v>311537880.98000002</v>
      </c>
      <c r="AU38" s="5">
        <v>8794838705.5300007</v>
      </c>
      <c r="AV38" s="5">
        <f t="shared" si="8"/>
        <v>9106376586.5100002</v>
      </c>
      <c r="AW38" s="5">
        <f t="shared" si="9"/>
        <v>10260.044943822453</v>
      </c>
      <c r="AX38" s="5">
        <f t="shared" si="10"/>
        <v>10623.484543749191</v>
      </c>
      <c r="AY38" s="118">
        <f t="shared" si="16"/>
        <v>3.5422807786584222E-2</v>
      </c>
      <c r="AZ38" s="93">
        <v>850123</v>
      </c>
      <c r="BA38" s="6">
        <v>557.05326963999994</v>
      </c>
      <c r="BB38" s="5">
        <f t="shared" si="2"/>
        <v>2409499210.96</v>
      </c>
      <c r="BC38" s="119">
        <v>557053269.63999999</v>
      </c>
      <c r="BD38" s="122">
        <f t="shared" si="3"/>
        <v>2966552480.5999999</v>
      </c>
      <c r="BE38" s="123">
        <f t="shared" si="4"/>
        <v>655.26196755057799</v>
      </c>
      <c r="BF38" s="123">
        <f t="shared" si="5"/>
        <v>3489.5567824891223</v>
      </c>
      <c r="BG38" s="124">
        <f t="shared" si="6"/>
        <v>4.3254376956034344</v>
      </c>
      <c r="BK38">
        <f t="shared" si="11"/>
        <v>8794838705530001</v>
      </c>
      <c r="BL38">
        <f t="shared" si="7"/>
        <v>557053269.63999999</v>
      </c>
      <c r="BM38">
        <f t="shared" si="17"/>
        <v>311537880.98000002</v>
      </c>
      <c r="BN38" s="6">
        <v>2409.4992109600003</v>
      </c>
    </row>
    <row r="39" spans="1:66" x14ac:dyDescent="0.25">
      <c r="A39" s="3">
        <v>34</v>
      </c>
      <c r="B39" s="4" t="s">
        <v>46</v>
      </c>
      <c r="C39" s="5">
        <v>539</v>
      </c>
      <c r="D39" s="5">
        <v>824</v>
      </c>
      <c r="E39" s="5">
        <v>13056</v>
      </c>
      <c r="F39" s="5">
        <v>0</v>
      </c>
      <c r="G39" s="5">
        <v>0</v>
      </c>
      <c r="H39" s="5">
        <v>0</v>
      </c>
      <c r="I39" s="5">
        <v>0</v>
      </c>
      <c r="J39" s="125">
        <v>0</v>
      </c>
      <c r="K39" s="125">
        <v>0</v>
      </c>
      <c r="L39" s="5">
        <v>4432039</v>
      </c>
      <c r="M39" s="5">
        <v>4103034</v>
      </c>
      <c r="N39" s="5">
        <v>2159044</v>
      </c>
      <c r="O39">
        <v>16751114742.000002</v>
      </c>
      <c r="P39">
        <v>2783047249</v>
      </c>
      <c r="Q39">
        <f t="shared" si="14"/>
        <v>4082.6166056630295</v>
      </c>
      <c r="R39">
        <f t="shared" si="12"/>
        <v>1289.0183104188707</v>
      </c>
      <c r="S39" t="e">
        <f t="shared" si="15"/>
        <v>#DIV/0!</v>
      </c>
      <c r="T39" t="e">
        <f t="shared" si="13"/>
        <v>#DIV/0!</v>
      </c>
      <c r="Y39" s="3"/>
      <c r="Z39" s="4"/>
      <c r="AA39" s="5"/>
      <c r="AB39" s="5"/>
      <c r="AC39" s="5"/>
      <c r="AD39" s="5"/>
      <c r="AE39" s="5"/>
      <c r="AF39" s="5"/>
      <c r="AG39" s="6"/>
      <c r="AH39" s="6"/>
      <c r="AJ39" s="4" t="s">
        <v>46</v>
      </c>
      <c r="AK39" s="93">
        <v>0</v>
      </c>
      <c r="AL39" s="93">
        <v>2783.0472490000002</v>
      </c>
      <c r="AQ39" s="4" t="s">
        <v>50</v>
      </c>
      <c r="AR39" s="93">
        <v>0</v>
      </c>
      <c r="AS39" s="6">
        <v>0</v>
      </c>
      <c r="AT39" s="122">
        <v>0</v>
      </c>
      <c r="AU39" s="5">
        <v>0</v>
      </c>
      <c r="AV39" s="5">
        <f t="shared" si="8"/>
        <v>0</v>
      </c>
      <c r="AW39" s="5" t="e">
        <f t="shared" si="9"/>
        <v>#DIV/0!</v>
      </c>
      <c r="AX39" s="5" t="e">
        <f t="shared" si="10"/>
        <v>#DIV/0!</v>
      </c>
      <c r="AY39" s="118" t="e">
        <f t="shared" si="16"/>
        <v>#DIV/0!</v>
      </c>
      <c r="AZ39" s="93">
        <v>3918239</v>
      </c>
      <c r="BA39" s="6">
        <v>2139.9116439999998</v>
      </c>
      <c r="BB39" s="5">
        <f t="shared" si="2"/>
        <v>11137613448</v>
      </c>
      <c r="BC39" s="119">
        <v>2139911643.9999998</v>
      </c>
      <c r="BD39" s="122">
        <f t="shared" si="3"/>
        <v>13277525092</v>
      </c>
      <c r="BE39" s="123">
        <f t="shared" si="4"/>
        <v>546.14117311373798</v>
      </c>
      <c r="BF39" s="123">
        <f t="shared" si="5"/>
        <v>3388.646045328016</v>
      </c>
      <c r="BG39" s="124">
        <f t="shared" si="6"/>
        <v>5.2047071565913701</v>
      </c>
      <c r="BK39">
        <f t="shared" si="11"/>
        <v>0</v>
      </c>
      <c r="BL39">
        <f t="shared" si="7"/>
        <v>2139911643.9999998</v>
      </c>
      <c r="BM39">
        <f t="shared" si="17"/>
        <v>0</v>
      </c>
      <c r="BN39" s="6">
        <v>11137.613448</v>
      </c>
    </row>
    <row r="40" spans="1:66" x14ac:dyDescent="0.25">
      <c r="A40" s="3">
        <v>35</v>
      </c>
      <c r="B40" s="4" t="s">
        <v>47</v>
      </c>
      <c r="C40" s="5">
        <v>766</v>
      </c>
      <c r="D40" s="5">
        <v>1032</v>
      </c>
      <c r="E40" s="5">
        <v>21829</v>
      </c>
      <c r="F40" s="5">
        <v>0</v>
      </c>
      <c r="G40" s="5">
        <v>0</v>
      </c>
      <c r="H40" s="5">
        <v>0</v>
      </c>
      <c r="I40" s="5">
        <v>0</v>
      </c>
      <c r="J40" s="125">
        <v>0</v>
      </c>
      <c r="K40" s="125">
        <v>0</v>
      </c>
      <c r="L40" s="5">
        <v>4317259</v>
      </c>
      <c r="M40" s="5">
        <v>5352027</v>
      </c>
      <c r="N40" s="5">
        <v>2041688</v>
      </c>
      <c r="O40">
        <v>22953187218.540001</v>
      </c>
      <c r="P40">
        <v>2762998738.5500002</v>
      </c>
      <c r="Q40">
        <f t="shared" si="14"/>
        <v>4288.6904753171093</v>
      </c>
      <c r="R40">
        <f t="shared" si="12"/>
        <v>1353.2913640820734</v>
      </c>
      <c r="S40" t="e">
        <f t="shared" si="15"/>
        <v>#DIV/0!</v>
      </c>
      <c r="T40" t="e">
        <f t="shared" si="13"/>
        <v>#DIV/0!</v>
      </c>
      <c r="Y40" s="3"/>
      <c r="Z40" s="4"/>
      <c r="AA40" s="5"/>
      <c r="AB40" s="5"/>
      <c r="AC40" s="5"/>
      <c r="AD40" s="5"/>
      <c r="AE40" s="5"/>
      <c r="AF40" s="5"/>
      <c r="AG40" s="6"/>
      <c r="AH40" s="6"/>
      <c r="AJ40" s="4" t="s">
        <v>47</v>
      </c>
      <c r="AK40" s="93">
        <v>0</v>
      </c>
      <c r="AL40" s="93">
        <v>2762.9987385500003</v>
      </c>
      <c r="AQ40" s="4" t="s">
        <v>51</v>
      </c>
      <c r="AR40" s="93">
        <v>20064</v>
      </c>
      <c r="AS40" s="6">
        <v>1.8710191299999999</v>
      </c>
      <c r="AT40" s="122">
        <v>1871019.13</v>
      </c>
      <c r="AU40" s="5">
        <v>120263658.53999999</v>
      </c>
      <c r="AV40" s="5">
        <f t="shared" si="8"/>
        <v>122134677.66999999</v>
      </c>
      <c r="AW40" s="5">
        <f t="shared" si="9"/>
        <v>5994.0021202153102</v>
      </c>
      <c r="AX40" s="5">
        <f t="shared" si="10"/>
        <v>6087.2546685606058</v>
      </c>
      <c r="AY40" s="118">
        <f t="shared" si="16"/>
        <v>1.5557643536827075E-2</v>
      </c>
      <c r="AZ40" s="93">
        <v>1254935</v>
      </c>
      <c r="BA40" s="6">
        <v>618.66823939999995</v>
      </c>
      <c r="BB40" s="5">
        <f t="shared" si="2"/>
        <v>18226539300</v>
      </c>
      <c r="BC40" s="119">
        <v>618668239.39999998</v>
      </c>
      <c r="BD40" s="122">
        <f t="shared" si="3"/>
        <v>18845207539.400002</v>
      </c>
      <c r="BE40" s="123">
        <f t="shared" si="4"/>
        <v>492.98827381497847</v>
      </c>
      <c r="BF40" s="123">
        <f t="shared" si="5"/>
        <v>15016.879391681641</v>
      </c>
      <c r="BG40" s="124">
        <f t="shared" si="6"/>
        <v>29.460926130096084</v>
      </c>
      <c r="BK40">
        <f t="shared" si="11"/>
        <v>120263658539999.98</v>
      </c>
      <c r="BL40">
        <f t="shared" si="7"/>
        <v>618668239.39999998</v>
      </c>
      <c r="BM40">
        <f t="shared" si="17"/>
        <v>1871019.13</v>
      </c>
      <c r="BN40" s="6">
        <v>18226.5393</v>
      </c>
    </row>
    <row r="41" spans="1:66" x14ac:dyDescent="0.25">
      <c r="A41" s="3">
        <v>36</v>
      </c>
      <c r="B41" s="4" t="s">
        <v>48</v>
      </c>
      <c r="C41" s="5">
        <v>1073</v>
      </c>
      <c r="D41" s="5">
        <v>1148</v>
      </c>
      <c r="E41" s="5">
        <v>8225</v>
      </c>
      <c r="F41" s="5">
        <v>0</v>
      </c>
      <c r="G41" s="5">
        <v>1502888</v>
      </c>
      <c r="H41" s="5">
        <v>38562</v>
      </c>
      <c r="I41" s="5">
        <v>3705029</v>
      </c>
      <c r="J41" s="125">
        <v>146663577.93000001</v>
      </c>
      <c r="K41" s="125">
        <v>11415962289.620001</v>
      </c>
      <c r="L41" s="5">
        <v>8598396</v>
      </c>
      <c r="M41" s="5">
        <v>6670142</v>
      </c>
      <c r="N41" s="5">
        <v>7324161</v>
      </c>
      <c r="O41">
        <v>27545458957.149998</v>
      </c>
      <c r="P41">
        <v>8905106549.4000015</v>
      </c>
      <c r="Q41">
        <f t="shared" si="14"/>
        <v>4129.6660486613328</v>
      </c>
      <c r="R41">
        <f t="shared" si="12"/>
        <v>1215.8534676395018</v>
      </c>
      <c r="S41">
        <f t="shared" si="15"/>
        <v>97.587829518899611</v>
      </c>
      <c r="T41">
        <f t="shared" si="13"/>
        <v>7596.0166623327896</v>
      </c>
      <c r="Y41" s="3"/>
      <c r="Z41" s="4"/>
      <c r="AA41" s="5"/>
      <c r="AB41" s="5"/>
      <c r="AC41" s="5"/>
      <c r="AD41" s="5"/>
      <c r="AE41" s="5"/>
      <c r="AF41" s="5"/>
      <c r="AG41" s="6"/>
      <c r="AH41" s="6"/>
      <c r="AJ41" s="4" t="s">
        <v>97</v>
      </c>
      <c r="AK41" s="93">
        <v>0</v>
      </c>
      <c r="AL41" s="93">
        <v>2149.7285320200003</v>
      </c>
      <c r="AQ41" s="4" t="s">
        <v>52</v>
      </c>
      <c r="AR41" s="93">
        <v>0</v>
      </c>
      <c r="AS41" s="6">
        <v>0</v>
      </c>
      <c r="AT41" s="122">
        <v>0</v>
      </c>
      <c r="AU41" s="5">
        <v>0</v>
      </c>
      <c r="AV41" s="5">
        <f t="shared" si="8"/>
        <v>0</v>
      </c>
      <c r="AW41" s="5" t="e">
        <f t="shared" si="9"/>
        <v>#DIV/0!</v>
      </c>
      <c r="AX41" s="5" t="e">
        <f t="shared" si="10"/>
        <v>#DIV/0!</v>
      </c>
      <c r="AY41" s="118" t="e">
        <f t="shared" si="16"/>
        <v>#DIV/0!</v>
      </c>
      <c r="AZ41" s="93">
        <v>1289102</v>
      </c>
      <c r="BA41" s="6">
        <v>342.8175</v>
      </c>
      <c r="BB41" s="5">
        <f t="shared" si="2"/>
        <v>3841500000</v>
      </c>
      <c r="BC41" s="119">
        <v>342817500</v>
      </c>
      <c r="BD41" s="122">
        <f t="shared" si="3"/>
        <v>4184317500</v>
      </c>
      <c r="BE41" s="123">
        <f t="shared" si="4"/>
        <v>265.93512383038734</v>
      </c>
      <c r="BF41" s="123">
        <f t="shared" si="5"/>
        <v>3245.9165372484104</v>
      </c>
      <c r="BG41" s="124">
        <f t="shared" si="6"/>
        <v>11.205670655669563</v>
      </c>
      <c r="BK41">
        <f t="shared" si="11"/>
        <v>0</v>
      </c>
      <c r="BL41">
        <f t="shared" si="7"/>
        <v>342817500</v>
      </c>
      <c r="BM41">
        <f t="shared" si="17"/>
        <v>0</v>
      </c>
      <c r="BN41" s="6">
        <v>3841.5</v>
      </c>
    </row>
    <row r="42" spans="1:66" x14ac:dyDescent="0.25">
      <c r="A42" s="3">
        <v>37</v>
      </c>
      <c r="B42" s="4" t="s">
        <v>49</v>
      </c>
      <c r="C42" s="5">
        <v>189</v>
      </c>
      <c r="D42" s="5">
        <v>182</v>
      </c>
      <c r="E42" s="5">
        <v>431694</v>
      </c>
      <c r="F42" s="5">
        <v>0</v>
      </c>
      <c r="G42" s="5">
        <v>857193</v>
      </c>
      <c r="H42" s="5">
        <v>62155</v>
      </c>
      <c r="I42" s="5">
        <v>2389958</v>
      </c>
      <c r="J42" s="125">
        <v>311537880.98000002</v>
      </c>
      <c r="K42" s="125">
        <v>8794838705.5300007</v>
      </c>
      <c r="L42" s="5">
        <v>850123</v>
      </c>
      <c r="M42" s="5">
        <v>638627</v>
      </c>
      <c r="N42" s="5">
        <v>435081</v>
      </c>
      <c r="O42">
        <v>2409499210.96</v>
      </c>
      <c r="P42">
        <v>557053269.63999999</v>
      </c>
      <c r="Q42">
        <f t="shared" si="14"/>
        <v>3772.9366452718095</v>
      </c>
      <c r="R42">
        <f t="shared" si="12"/>
        <v>1280.3438202081911</v>
      </c>
      <c r="S42">
        <f t="shared" si="15"/>
        <v>363.43959992673763</v>
      </c>
      <c r="T42">
        <f t="shared" si="13"/>
        <v>10260.044943822453</v>
      </c>
      <c r="Y42" s="3"/>
      <c r="Z42" s="4"/>
      <c r="AA42" s="5"/>
      <c r="AB42" s="5"/>
      <c r="AC42" s="5"/>
      <c r="AD42" s="5"/>
      <c r="AE42" s="5"/>
      <c r="AF42" s="5"/>
      <c r="AG42" s="6"/>
      <c r="AH42" s="6"/>
      <c r="AJ42" s="4" t="s">
        <v>50</v>
      </c>
      <c r="AK42" s="93">
        <v>0</v>
      </c>
      <c r="AL42" s="93">
        <v>2139.9116439999998</v>
      </c>
      <c r="AQ42" s="4" t="s">
        <v>53</v>
      </c>
      <c r="AR42" s="93">
        <v>281435</v>
      </c>
      <c r="AS42" s="6">
        <v>27.14571776</v>
      </c>
      <c r="AT42" s="122">
        <v>27145717.760000002</v>
      </c>
      <c r="AU42" s="5">
        <v>2439078219.0799999</v>
      </c>
      <c r="AV42" s="5">
        <f t="shared" si="8"/>
        <v>2466223936.8400002</v>
      </c>
      <c r="AW42" s="5">
        <f t="shared" si="9"/>
        <v>8666.5774302414411</v>
      </c>
      <c r="AX42" s="5">
        <f t="shared" si="10"/>
        <v>8763.03209209942</v>
      </c>
      <c r="AY42" s="118">
        <f t="shared" si="16"/>
        <v>1.1129498655536935E-2</v>
      </c>
      <c r="AZ42" s="93">
        <v>1934193</v>
      </c>
      <c r="BA42" s="6">
        <v>3453.2712253</v>
      </c>
      <c r="BB42" s="5">
        <f t="shared" si="2"/>
        <v>13550982709</v>
      </c>
      <c r="BC42" s="119">
        <v>3453271225.3000002</v>
      </c>
      <c r="BD42" s="122">
        <f t="shared" si="3"/>
        <v>17004253934.299999</v>
      </c>
      <c r="BE42" s="123">
        <f t="shared" si="4"/>
        <v>1785.3808928581584</v>
      </c>
      <c r="BF42" s="123">
        <f t="shared" si="5"/>
        <v>8791.3946200301616</v>
      </c>
      <c r="BG42" s="124">
        <f t="shared" si="6"/>
        <v>3.924100316743226</v>
      </c>
      <c r="BK42">
        <f t="shared" si="11"/>
        <v>2439078219080000</v>
      </c>
      <c r="BL42">
        <f t="shared" si="7"/>
        <v>3453271225.3000002</v>
      </c>
      <c r="BM42">
        <f t="shared" si="17"/>
        <v>27145717.760000002</v>
      </c>
      <c r="BN42" s="6">
        <v>13550.982709</v>
      </c>
    </row>
    <row r="43" spans="1:66" x14ac:dyDescent="0.25">
      <c r="A43" s="3">
        <v>38</v>
      </c>
      <c r="B43" s="4" t="s">
        <v>50</v>
      </c>
      <c r="C43" s="5">
        <v>740</v>
      </c>
      <c r="D43" s="5">
        <v>587</v>
      </c>
      <c r="E43" s="5">
        <v>9649</v>
      </c>
      <c r="F43" s="5">
        <v>0</v>
      </c>
      <c r="G43" s="5">
        <v>0</v>
      </c>
      <c r="H43" s="5">
        <v>0</v>
      </c>
      <c r="I43" s="5">
        <v>0</v>
      </c>
      <c r="J43" s="125">
        <v>0</v>
      </c>
      <c r="K43" s="125">
        <v>0</v>
      </c>
      <c r="L43" s="5">
        <v>3918239</v>
      </c>
      <c r="M43" s="5">
        <v>2718941</v>
      </c>
      <c r="N43" s="5">
        <v>1409989</v>
      </c>
      <c r="O43">
        <v>11137613448</v>
      </c>
      <c r="P43">
        <v>2139911643.9999998</v>
      </c>
      <c r="Q43">
        <f t="shared" si="14"/>
        <v>4096.3056748932768</v>
      </c>
      <c r="R43">
        <f t="shared" si="12"/>
        <v>1517.6796726782973</v>
      </c>
      <c r="S43" t="e">
        <f t="shared" si="15"/>
        <v>#DIV/0!</v>
      </c>
      <c r="T43" t="e">
        <f t="shared" si="13"/>
        <v>#DIV/0!</v>
      </c>
      <c r="Y43" s="3"/>
      <c r="Z43" s="4"/>
      <c r="AA43" s="5"/>
      <c r="AB43" s="5"/>
      <c r="AC43" s="5"/>
      <c r="AD43" s="5"/>
      <c r="AE43" s="5"/>
      <c r="AF43" s="5"/>
      <c r="AG43" s="6"/>
      <c r="AH43" s="6"/>
      <c r="AJ43" s="4" t="s">
        <v>35</v>
      </c>
      <c r="AK43" s="93">
        <v>0</v>
      </c>
      <c r="AL43" s="93">
        <v>943.40077623000047</v>
      </c>
      <c r="AQ43" s="4" t="s">
        <v>54</v>
      </c>
      <c r="AR43" s="93">
        <v>1200852</v>
      </c>
      <c r="AS43" s="6">
        <v>20.4968</v>
      </c>
      <c r="AT43" s="122">
        <v>20496800</v>
      </c>
      <c r="AU43" s="5">
        <v>45219834349</v>
      </c>
      <c r="AV43" s="5">
        <f t="shared" si="8"/>
        <v>45240331149</v>
      </c>
      <c r="AW43" s="5">
        <f t="shared" si="9"/>
        <v>37656.459204797924</v>
      </c>
      <c r="AX43" s="5">
        <f t="shared" si="10"/>
        <v>37673.527752795519</v>
      </c>
      <c r="AY43" s="118">
        <f t="shared" si="16"/>
        <v>4.5327012571112427E-4</v>
      </c>
      <c r="AZ43" s="93">
        <v>0</v>
      </c>
      <c r="BA43" s="6">
        <v>0</v>
      </c>
      <c r="BB43" s="5">
        <f t="shared" si="2"/>
        <v>0</v>
      </c>
      <c r="BC43" s="119">
        <v>0</v>
      </c>
      <c r="BD43" s="122">
        <f t="shared" si="3"/>
        <v>0</v>
      </c>
      <c r="BE43" s="123" t="e">
        <f t="shared" si="4"/>
        <v>#DIV/0!</v>
      </c>
      <c r="BF43" s="123" t="e">
        <f t="shared" si="5"/>
        <v>#DIV/0!</v>
      </c>
      <c r="BG43" s="124" t="e">
        <f t="shared" si="6"/>
        <v>#DIV/0!</v>
      </c>
      <c r="BK43">
        <f t="shared" si="11"/>
        <v>4.5219834349E+16</v>
      </c>
      <c r="BL43">
        <f t="shared" si="7"/>
        <v>0</v>
      </c>
      <c r="BM43">
        <f t="shared" si="17"/>
        <v>20496800</v>
      </c>
      <c r="BN43" s="6">
        <v>0</v>
      </c>
    </row>
    <row r="44" spans="1:66" x14ac:dyDescent="0.25">
      <c r="A44" s="3">
        <v>39</v>
      </c>
      <c r="B44" s="4" t="s">
        <v>51</v>
      </c>
      <c r="C44" s="5">
        <v>467</v>
      </c>
      <c r="D44" s="5">
        <v>666</v>
      </c>
      <c r="E44" s="5">
        <v>5039</v>
      </c>
      <c r="F44" s="5">
        <v>0</v>
      </c>
      <c r="G44" s="5">
        <v>20064</v>
      </c>
      <c r="H44" s="5">
        <v>1313</v>
      </c>
      <c r="I44" s="5">
        <v>33849</v>
      </c>
      <c r="J44" s="125">
        <v>1871019.13</v>
      </c>
      <c r="K44" s="125">
        <v>120263658.53999999</v>
      </c>
      <c r="L44" s="5">
        <v>1254935</v>
      </c>
      <c r="M44" s="5">
        <v>4393108</v>
      </c>
      <c r="N44" s="5">
        <v>348345</v>
      </c>
      <c r="O44">
        <v>18226539300</v>
      </c>
      <c r="P44">
        <v>618668239.39999998</v>
      </c>
      <c r="Q44">
        <f t="shared" si="14"/>
        <v>4148.8939721035767</v>
      </c>
      <c r="R44">
        <f t="shared" si="12"/>
        <v>1776.0215860712799</v>
      </c>
      <c r="S44">
        <f t="shared" si="15"/>
        <v>93.252548345295054</v>
      </c>
      <c r="T44">
        <f t="shared" si="13"/>
        <v>5994.0021202153102</v>
      </c>
      <c r="Y44" s="3"/>
      <c r="Z44" s="4"/>
      <c r="AA44" s="5"/>
      <c r="AB44" s="5"/>
      <c r="AC44" s="5"/>
      <c r="AD44" s="5"/>
      <c r="AE44" s="5"/>
      <c r="AF44" s="5"/>
      <c r="AG44" s="6"/>
      <c r="AH44" s="6"/>
      <c r="AJ44" s="4" t="s">
        <v>43</v>
      </c>
      <c r="AK44" s="93">
        <v>0</v>
      </c>
      <c r="AL44" s="93">
        <v>661.57491075999997</v>
      </c>
      <c r="AQ44" s="4" t="s">
        <v>55</v>
      </c>
      <c r="AR44" s="93">
        <v>18109</v>
      </c>
      <c r="AS44" s="6">
        <v>1.8739638799999998</v>
      </c>
      <c r="AT44" s="122">
        <v>1873963.88</v>
      </c>
      <c r="AU44" s="5">
        <v>389575219.16000003</v>
      </c>
      <c r="AV44" s="5">
        <f t="shared" si="8"/>
        <v>391449183.04000002</v>
      </c>
      <c r="AW44" s="5">
        <f t="shared" si="9"/>
        <v>21512.795800982938</v>
      </c>
      <c r="AX44" s="5">
        <f t="shared" si="10"/>
        <v>21616.278261637861</v>
      </c>
      <c r="AY44" s="118">
        <f t="shared" si="16"/>
        <v>4.8102748528015384E-3</v>
      </c>
      <c r="AZ44" s="93">
        <v>0</v>
      </c>
      <c r="BA44" s="6">
        <v>0</v>
      </c>
      <c r="BB44" s="5">
        <f t="shared" si="2"/>
        <v>0</v>
      </c>
      <c r="BC44" s="119">
        <v>0</v>
      </c>
      <c r="BD44" s="122">
        <f t="shared" si="3"/>
        <v>0</v>
      </c>
      <c r="BE44" s="123" t="e">
        <f t="shared" si="4"/>
        <v>#DIV/0!</v>
      </c>
      <c r="BF44" s="123" t="e">
        <f t="shared" si="5"/>
        <v>#DIV/0!</v>
      </c>
      <c r="BG44" s="124" t="e">
        <f t="shared" si="6"/>
        <v>#DIV/0!</v>
      </c>
      <c r="BK44">
        <f t="shared" si="11"/>
        <v>389575219160000</v>
      </c>
      <c r="BL44">
        <f t="shared" si="7"/>
        <v>0</v>
      </c>
      <c r="BM44">
        <f t="shared" si="17"/>
        <v>1873963.88</v>
      </c>
      <c r="BN44" s="6">
        <v>0</v>
      </c>
    </row>
    <row r="45" spans="1:66" x14ac:dyDescent="0.25">
      <c r="A45" s="3">
        <v>40</v>
      </c>
      <c r="B45" s="4" t="s">
        <v>52</v>
      </c>
      <c r="C45" s="5">
        <v>427</v>
      </c>
      <c r="D45" s="5">
        <v>595</v>
      </c>
      <c r="E45" s="5">
        <v>6149</v>
      </c>
      <c r="F45" s="5">
        <v>0</v>
      </c>
      <c r="G45" s="5">
        <v>0</v>
      </c>
      <c r="H45" s="5">
        <v>0</v>
      </c>
      <c r="I45" s="5">
        <v>0</v>
      </c>
      <c r="J45" s="125">
        <v>0</v>
      </c>
      <c r="K45" s="125">
        <v>0</v>
      </c>
      <c r="L45" s="5">
        <v>1289102</v>
      </c>
      <c r="M45" s="5">
        <v>892452</v>
      </c>
      <c r="N45" s="5">
        <v>197702</v>
      </c>
      <c r="O45">
        <v>3841500000</v>
      </c>
      <c r="P45">
        <v>342817500</v>
      </c>
      <c r="Q45">
        <f t="shared" si="14"/>
        <v>4304.4331795995749</v>
      </c>
      <c r="R45">
        <f t="shared" si="12"/>
        <v>1734.0112897188699</v>
      </c>
      <c r="S45" t="e">
        <f t="shared" si="15"/>
        <v>#DIV/0!</v>
      </c>
      <c r="T45" t="e">
        <f t="shared" si="13"/>
        <v>#DIV/0!</v>
      </c>
      <c r="Y45" s="3"/>
      <c r="Z45" s="4"/>
      <c r="AA45" s="5"/>
      <c r="AB45" s="5"/>
      <c r="AC45" s="5"/>
      <c r="AD45" s="5"/>
      <c r="AE45" s="5"/>
      <c r="AF45" s="5"/>
      <c r="AG45" s="6"/>
      <c r="AH45" s="6"/>
      <c r="AJ45" s="4" t="s">
        <v>58</v>
      </c>
      <c r="AK45" s="93">
        <v>0</v>
      </c>
      <c r="AL45" s="93">
        <v>607.01581050000004</v>
      </c>
      <c r="AQ45" s="4" t="s">
        <v>56</v>
      </c>
      <c r="AR45" s="93">
        <v>0</v>
      </c>
      <c r="AS45" s="6">
        <v>0</v>
      </c>
      <c r="AT45" s="122">
        <v>0</v>
      </c>
      <c r="AU45" s="5">
        <v>0</v>
      </c>
      <c r="AV45" s="5">
        <f t="shared" si="8"/>
        <v>0</v>
      </c>
      <c r="AW45" s="5" t="e">
        <f t="shared" si="9"/>
        <v>#DIV/0!</v>
      </c>
      <c r="AX45" s="5" t="e">
        <f t="shared" si="10"/>
        <v>#DIV/0!</v>
      </c>
      <c r="AY45" s="118" t="e">
        <f t="shared" si="16"/>
        <v>#DIV/0!</v>
      </c>
      <c r="AZ45" s="93">
        <v>3313</v>
      </c>
      <c r="BA45" s="6">
        <v>0.99608355000000004</v>
      </c>
      <c r="BB45" s="5">
        <f t="shared" si="2"/>
        <v>1189961.3500000001</v>
      </c>
      <c r="BC45" s="119">
        <v>996083.55</v>
      </c>
      <c r="BD45" s="122">
        <f t="shared" si="3"/>
        <v>2186044.9000000004</v>
      </c>
      <c r="BE45" s="123">
        <f t="shared" si="4"/>
        <v>300.65908542106854</v>
      </c>
      <c r="BF45" s="123">
        <f t="shared" si="5"/>
        <v>659.83848475701791</v>
      </c>
      <c r="BG45" s="124">
        <f t="shared" si="6"/>
        <v>1.1946400982126451</v>
      </c>
      <c r="BK45">
        <f t="shared" si="11"/>
        <v>0</v>
      </c>
      <c r="BL45">
        <f t="shared" si="7"/>
        <v>996083.55</v>
      </c>
      <c r="BM45">
        <f t="shared" si="17"/>
        <v>0</v>
      </c>
      <c r="BN45" s="6">
        <v>1.1899613500000001</v>
      </c>
    </row>
    <row r="46" spans="1:66" x14ac:dyDescent="0.25">
      <c r="A46" s="3">
        <v>41</v>
      </c>
      <c r="B46" s="4" t="s">
        <v>53</v>
      </c>
      <c r="C46" s="5">
        <v>865</v>
      </c>
      <c r="D46" s="5">
        <v>468</v>
      </c>
      <c r="E46" s="5">
        <v>85392</v>
      </c>
      <c r="F46" s="5">
        <v>0</v>
      </c>
      <c r="G46" s="5">
        <v>281435</v>
      </c>
      <c r="H46" s="5">
        <v>6300</v>
      </c>
      <c r="I46" s="5">
        <v>895075</v>
      </c>
      <c r="J46" s="125">
        <v>27145717.760000002</v>
      </c>
      <c r="K46" s="125">
        <v>2439078219.0799999</v>
      </c>
      <c r="L46" s="5">
        <v>1934193</v>
      </c>
      <c r="M46" s="5">
        <v>3499426</v>
      </c>
      <c r="N46" s="5">
        <v>2443256</v>
      </c>
      <c r="O46">
        <v>13550982709</v>
      </c>
      <c r="P46">
        <v>3453271225.3000002</v>
      </c>
      <c r="Q46">
        <f t="shared" si="14"/>
        <v>3872.3444099117969</v>
      </c>
      <c r="R46">
        <f t="shared" si="12"/>
        <v>1413.3890289433446</v>
      </c>
      <c r="S46">
        <f t="shared" si="15"/>
        <v>96.454661857977868</v>
      </c>
      <c r="T46">
        <f t="shared" si="13"/>
        <v>8666.5774302414411</v>
      </c>
      <c r="Y46" s="3"/>
      <c r="Z46" s="4"/>
      <c r="AA46" s="5"/>
      <c r="AB46" s="5"/>
      <c r="AC46" s="5"/>
      <c r="AD46" s="5"/>
      <c r="AE46" s="5"/>
      <c r="AF46" s="5"/>
      <c r="AG46" s="6"/>
      <c r="AH46" s="6"/>
      <c r="AJ46" s="4" t="s">
        <v>26</v>
      </c>
      <c r="AK46" s="93">
        <v>0</v>
      </c>
      <c r="AL46" s="93">
        <v>566.68785400000002</v>
      </c>
      <c r="AQ46" s="4" t="s">
        <v>57</v>
      </c>
      <c r="AR46" s="93">
        <v>2514041</v>
      </c>
      <c r="AS46" s="6">
        <v>236.71292299999999</v>
      </c>
      <c r="AT46" s="122">
        <v>236712923</v>
      </c>
      <c r="AU46" s="5">
        <v>42245965922</v>
      </c>
      <c r="AV46" s="5">
        <f t="shared" si="8"/>
        <v>42482678845</v>
      </c>
      <c r="AW46" s="5">
        <f t="shared" si="9"/>
        <v>16804.008336379557</v>
      </c>
      <c r="AX46" s="5">
        <f t="shared" si="10"/>
        <v>16898.164685858344</v>
      </c>
      <c r="AY46" s="118">
        <f t="shared" si="16"/>
        <v>5.6032077343680957E-3</v>
      </c>
      <c r="AZ46" s="93">
        <v>1619075</v>
      </c>
      <c r="BA46" s="6">
        <v>9075.9032819999993</v>
      </c>
      <c r="BB46" s="5">
        <f t="shared" si="2"/>
        <v>8925824385</v>
      </c>
      <c r="BC46" s="119">
        <v>9075903282</v>
      </c>
      <c r="BD46" s="122">
        <f t="shared" si="3"/>
        <v>18001727667</v>
      </c>
      <c r="BE46" s="123">
        <f t="shared" si="4"/>
        <v>5605.6101675339314</v>
      </c>
      <c r="BF46" s="123">
        <f t="shared" si="5"/>
        <v>11118.526113367201</v>
      </c>
      <c r="BG46" s="124">
        <f t="shared" si="6"/>
        <v>0.98346402640741593</v>
      </c>
      <c r="BK46">
        <f t="shared" si="11"/>
        <v>4.2245965922E+16</v>
      </c>
      <c r="BL46">
        <f t="shared" si="7"/>
        <v>9075903282</v>
      </c>
      <c r="BM46">
        <f t="shared" si="17"/>
        <v>236712923</v>
      </c>
      <c r="BN46" s="6">
        <v>8925.8243849999999</v>
      </c>
    </row>
    <row r="47" spans="1:66" x14ac:dyDescent="0.25">
      <c r="A47" s="3">
        <v>42</v>
      </c>
      <c r="B47" s="4" t="s">
        <v>54</v>
      </c>
      <c r="C47" s="5">
        <v>0</v>
      </c>
      <c r="D47" s="5">
        <v>0</v>
      </c>
      <c r="E47" s="5">
        <v>39192</v>
      </c>
      <c r="F47" s="5">
        <v>0</v>
      </c>
      <c r="G47" s="5">
        <v>1200852</v>
      </c>
      <c r="H47" s="5">
        <v>2856</v>
      </c>
      <c r="I47" s="5">
        <v>5895998</v>
      </c>
      <c r="J47" s="125">
        <v>20496800</v>
      </c>
      <c r="K47" s="125">
        <v>45219834349</v>
      </c>
      <c r="L47" s="5">
        <v>0</v>
      </c>
      <c r="M47" s="5">
        <v>0</v>
      </c>
      <c r="N47" s="5">
        <v>0</v>
      </c>
      <c r="O47">
        <v>0</v>
      </c>
      <c r="P47">
        <v>0</v>
      </c>
      <c r="Q47" t="e">
        <f t="shared" si="14"/>
        <v>#DIV/0!</v>
      </c>
      <c r="R47" t="e">
        <f t="shared" si="12"/>
        <v>#DIV/0!</v>
      </c>
      <c r="S47">
        <f t="shared" si="15"/>
        <v>17.068547997588379</v>
      </c>
      <c r="T47">
        <f t="shared" si="13"/>
        <v>37656.459204797924</v>
      </c>
      <c r="Y47" s="3"/>
      <c r="Z47" s="4"/>
      <c r="AA47" s="5"/>
      <c r="AB47" s="5"/>
      <c r="AC47" s="5"/>
      <c r="AD47" s="5"/>
      <c r="AE47" s="5"/>
      <c r="AF47" s="5"/>
      <c r="AG47" s="6"/>
      <c r="AH47" s="6"/>
      <c r="AJ47" s="4" t="s">
        <v>59</v>
      </c>
      <c r="AK47" s="93">
        <v>0</v>
      </c>
      <c r="AL47" s="93">
        <v>351.73504700000001</v>
      </c>
      <c r="AQ47" s="4" t="s">
        <v>58</v>
      </c>
      <c r="AR47" s="93">
        <v>0</v>
      </c>
      <c r="AS47" s="6">
        <v>0</v>
      </c>
      <c r="AT47" s="122">
        <v>0</v>
      </c>
      <c r="AU47" s="5">
        <v>0</v>
      </c>
      <c r="AV47" s="5">
        <f t="shared" si="8"/>
        <v>0</v>
      </c>
      <c r="AW47" s="5" t="e">
        <f t="shared" si="9"/>
        <v>#DIV/0!</v>
      </c>
      <c r="AX47" s="5" t="e">
        <f t="shared" si="10"/>
        <v>#DIV/0!</v>
      </c>
      <c r="AY47" s="118" t="e">
        <f t="shared" si="16"/>
        <v>#DIV/0!</v>
      </c>
      <c r="AZ47" s="93">
        <v>2319472</v>
      </c>
      <c r="BA47" s="6">
        <v>607.01581050000004</v>
      </c>
      <c r="BB47" s="5">
        <f t="shared" si="2"/>
        <v>1372939885</v>
      </c>
      <c r="BC47" s="119">
        <v>607015810.5</v>
      </c>
      <c r="BD47" s="122">
        <f t="shared" si="3"/>
        <v>1979955695.5</v>
      </c>
      <c r="BE47" s="123">
        <f t="shared" si="4"/>
        <v>261.70430619554793</v>
      </c>
      <c r="BF47" s="123">
        <f t="shared" si="5"/>
        <v>853.62345201839037</v>
      </c>
      <c r="BG47" s="124">
        <f t="shared" si="6"/>
        <v>2.2617860379437351</v>
      </c>
      <c r="BK47">
        <f t="shared" si="11"/>
        <v>0</v>
      </c>
      <c r="BL47">
        <f t="shared" si="7"/>
        <v>607015810.5</v>
      </c>
      <c r="BM47">
        <f t="shared" si="17"/>
        <v>0</v>
      </c>
      <c r="BN47" s="6">
        <v>1372.939885</v>
      </c>
    </row>
    <row r="48" spans="1:66" x14ac:dyDescent="0.25">
      <c r="A48" s="3">
        <v>43</v>
      </c>
      <c r="B48" s="4" t="s">
        <v>55</v>
      </c>
      <c r="C48" s="5">
        <v>0</v>
      </c>
      <c r="D48" s="5">
        <v>0</v>
      </c>
      <c r="E48" s="5">
        <v>0</v>
      </c>
      <c r="F48" s="5">
        <v>0</v>
      </c>
      <c r="G48" s="5">
        <v>18109</v>
      </c>
      <c r="H48" s="5">
        <v>213</v>
      </c>
      <c r="I48" s="5">
        <v>52990</v>
      </c>
      <c r="J48" s="125">
        <v>1873963.88</v>
      </c>
      <c r="K48" s="125">
        <v>389575219.16000003</v>
      </c>
      <c r="L48" s="5">
        <v>0</v>
      </c>
      <c r="M48" s="5">
        <v>0</v>
      </c>
      <c r="N48" s="5">
        <v>0</v>
      </c>
      <c r="O48">
        <v>0</v>
      </c>
      <c r="P48">
        <v>0</v>
      </c>
      <c r="Q48" t="e">
        <f t="shared" si="14"/>
        <v>#DIV/0!</v>
      </c>
      <c r="R48" t="e">
        <f t="shared" si="12"/>
        <v>#DIV/0!</v>
      </c>
      <c r="S48">
        <f t="shared" si="15"/>
        <v>103.48246065492296</v>
      </c>
      <c r="T48">
        <f t="shared" si="13"/>
        <v>21512.795800982938</v>
      </c>
      <c r="Y48" s="3"/>
      <c r="Z48" s="4"/>
      <c r="AA48" s="5"/>
      <c r="AB48" s="5"/>
      <c r="AC48" s="5"/>
      <c r="AD48" s="5"/>
      <c r="AE48" s="5"/>
      <c r="AF48" s="5"/>
      <c r="AG48" s="6"/>
      <c r="AH48" s="6"/>
      <c r="AJ48" s="4" t="s">
        <v>52</v>
      </c>
      <c r="AK48" s="93">
        <v>0</v>
      </c>
      <c r="AL48" s="93">
        <v>342.8175</v>
      </c>
      <c r="AQ48" s="4" t="s">
        <v>59</v>
      </c>
      <c r="AR48" s="93">
        <v>0</v>
      </c>
      <c r="AS48" s="6">
        <v>0</v>
      </c>
      <c r="AT48" s="122">
        <v>0</v>
      </c>
      <c r="AU48" s="5">
        <v>0</v>
      </c>
      <c r="AV48" s="5">
        <f t="shared" si="8"/>
        <v>0</v>
      </c>
      <c r="AW48" s="5" t="e">
        <f t="shared" si="9"/>
        <v>#DIV/0!</v>
      </c>
      <c r="AX48" s="5" t="e">
        <f t="shared" si="10"/>
        <v>#DIV/0!</v>
      </c>
      <c r="AY48" s="118" t="e">
        <f t="shared" si="16"/>
        <v>#DIV/0!</v>
      </c>
      <c r="AZ48" s="93">
        <v>113349</v>
      </c>
      <c r="BA48" s="6">
        <v>351.73504700000001</v>
      </c>
      <c r="BB48" s="5">
        <f t="shared" si="2"/>
        <v>620451181</v>
      </c>
      <c r="BC48" s="119">
        <v>351735047</v>
      </c>
      <c r="BD48" s="122">
        <f t="shared" si="3"/>
        <v>972186228</v>
      </c>
      <c r="BE48" s="123">
        <f t="shared" si="4"/>
        <v>3103.1155722591288</v>
      </c>
      <c r="BF48" s="123">
        <f t="shared" si="5"/>
        <v>8576.9281422862132</v>
      </c>
      <c r="BG48" s="124">
        <f t="shared" si="6"/>
        <v>1.763973156192195</v>
      </c>
      <c r="BK48">
        <f t="shared" si="11"/>
        <v>0</v>
      </c>
      <c r="BL48">
        <f t="shared" si="7"/>
        <v>351735047</v>
      </c>
      <c r="BM48">
        <f t="shared" si="17"/>
        <v>0</v>
      </c>
      <c r="BN48" s="6">
        <v>620.45118100000002</v>
      </c>
    </row>
    <row r="49" spans="1:66" x14ac:dyDescent="0.25">
      <c r="A49" s="3">
        <v>44</v>
      </c>
      <c r="B49" s="4" t="s">
        <v>56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125">
        <v>0</v>
      </c>
      <c r="K49" s="125">
        <v>0</v>
      </c>
      <c r="L49" s="5">
        <v>3313</v>
      </c>
      <c r="M49" s="5">
        <v>146</v>
      </c>
      <c r="N49" s="5">
        <v>221</v>
      </c>
      <c r="O49">
        <v>1189961.3500000001</v>
      </c>
      <c r="P49">
        <v>996083.55</v>
      </c>
      <c r="Q49">
        <f t="shared" si="14"/>
        <v>8150.4202054794523</v>
      </c>
      <c r="R49">
        <f t="shared" si="12"/>
        <v>4507.1653846153849</v>
      </c>
      <c r="S49" t="e">
        <f t="shared" si="15"/>
        <v>#DIV/0!</v>
      </c>
      <c r="T49" t="e">
        <f t="shared" si="13"/>
        <v>#DIV/0!</v>
      </c>
      <c r="Y49" s="3"/>
      <c r="Z49" s="4"/>
      <c r="AA49" s="5"/>
      <c r="AB49" s="5"/>
      <c r="AC49" s="5"/>
      <c r="AD49" s="5"/>
      <c r="AE49" s="5"/>
      <c r="AF49" s="5"/>
      <c r="AG49" s="6"/>
      <c r="AH49" s="6"/>
      <c r="AJ49" s="4" t="s">
        <v>36</v>
      </c>
      <c r="AK49" s="93">
        <v>0</v>
      </c>
      <c r="AL49" s="93">
        <v>280.47587781999999</v>
      </c>
      <c r="AQ49" s="4" t="s">
        <v>60</v>
      </c>
      <c r="AR49" s="93">
        <v>588785</v>
      </c>
      <c r="AS49" s="6">
        <v>30.890309999999999</v>
      </c>
      <c r="AT49" s="122">
        <v>30890310</v>
      </c>
      <c r="AU49" s="5">
        <v>4491797127</v>
      </c>
      <c r="AV49" s="5">
        <f t="shared" si="8"/>
        <v>4522687437</v>
      </c>
      <c r="AW49" s="5">
        <f t="shared" si="9"/>
        <v>7628.9258846607845</v>
      </c>
      <c r="AX49" s="5">
        <f t="shared" si="10"/>
        <v>7681.3903835865385</v>
      </c>
      <c r="AY49" s="118">
        <f t="shared" si="16"/>
        <v>6.877049235888181E-3</v>
      </c>
      <c r="AZ49" s="93">
        <v>391493</v>
      </c>
      <c r="BA49" s="6">
        <v>1143.7237600000001</v>
      </c>
      <c r="BB49" s="5">
        <f t="shared" si="2"/>
        <v>1615687220</v>
      </c>
      <c r="BC49" s="119">
        <v>1143723760</v>
      </c>
      <c r="BD49" s="122">
        <f t="shared" si="3"/>
        <v>2759410980</v>
      </c>
      <c r="BE49" s="123">
        <f t="shared" si="4"/>
        <v>2921.4411496501853</v>
      </c>
      <c r="BF49" s="123">
        <f t="shared" si="5"/>
        <v>7048.4299336131171</v>
      </c>
      <c r="BG49" s="124">
        <f t="shared" si="6"/>
        <v>1.4126551152526552</v>
      </c>
      <c r="BK49">
        <f t="shared" si="11"/>
        <v>4491797127000000</v>
      </c>
      <c r="BL49">
        <f t="shared" si="7"/>
        <v>1143723760</v>
      </c>
      <c r="BM49">
        <f t="shared" si="17"/>
        <v>30890310</v>
      </c>
      <c r="BN49" s="6">
        <v>1615.68722</v>
      </c>
    </row>
    <row r="50" spans="1:66" x14ac:dyDescent="0.25">
      <c r="A50" s="3">
        <v>45</v>
      </c>
      <c r="B50" s="4" t="s">
        <v>57</v>
      </c>
      <c r="C50" s="5">
        <v>47</v>
      </c>
      <c r="D50" s="5">
        <v>496</v>
      </c>
      <c r="E50" s="5">
        <v>34846</v>
      </c>
      <c r="F50" s="5">
        <v>0</v>
      </c>
      <c r="G50" s="5">
        <v>2514041</v>
      </c>
      <c r="H50" s="5">
        <v>41596</v>
      </c>
      <c r="I50" s="5">
        <v>18333546</v>
      </c>
      <c r="J50" s="125">
        <v>236712923</v>
      </c>
      <c r="K50" s="125">
        <v>42245965922</v>
      </c>
      <c r="L50" s="5">
        <v>1619075</v>
      </c>
      <c r="M50" s="5">
        <v>2234781</v>
      </c>
      <c r="N50" s="5">
        <v>5176451</v>
      </c>
      <c r="O50">
        <v>8925824385</v>
      </c>
      <c r="P50">
        <v>9075903282</v>
      </c>
      <c r="Q50">
        <f t="shared" si="14"/>
        <v>3994.0488061246269</v>
      </c>
      <c r="R50">
        <f t="shared" si="12"/>
        <v>1753.3061323288871</v>
      </c>
      <c r="S50">
        <f t="shared" si="15"/>
        <v>94.156349478787334</v>
      </c>
      <c r="T50">
        <f t="shared" si="13"/>
        <v>16804.008336379557</v>
      </c>
      <c r="Y50" s="3"/>
      <c r="Z50" s="4"/>
      <c r="AA50" s="5"/>
      <c r="AB50" s="5"/>
      <c r="AC50" s="5"/>
      <c r="AD50" s="5"/>
      <c r="AE50" s="5"/>
      <c r="AF50" s="5"/>
      <c r="AG50" s="6"/>
      <c r="AH50" s="6"/>
      <c r="AJ50" s="65" t="s">
        <v>56</v>
      </c>
      <c r="AK50" s="94">
        <v>0</v>
      </c>
      <c r="AL50" s="94">
        <v>0.99608355000000004</v>
      </c>
      <c r="AQ50" s="4" t="s">
        <v>61</v>
      </c>
      <c r="AR50" s="93">
        <v>1270641</v>
      </c>
      <c r="AS50" s="6">
        <v>25.543247000000001</v>
      </c>
      <c r="AT50" s="122">
        <v>25543247</v>
      </c>
      <c r="AU50" s="5">
        <v>10677456453</v>
      </c>
      <c r="AV50" s="5">
        <f t="shared" si="8"/>
        <v>10702999700</v>
      </c>
      <c r="AW50" s="5">
        <f t="shared" si="9"/>
        <v>8403.2047234427355</v>
      </c>
      <c r="AX50" s="5">
        <f t="shared" si="10"/>
        <v>8423.3073700596779</v>
      </c>
      <c r="AY50" s="118">
        <f t="shared" si="16"/>
        <v>2.3922595341347875E-3</v>
      </c>
      <c r="AZ50" s="93">
        <v>1085405</v>
      </c>
      <c r="BA50" s="6">
        <v>3135.31007</v>
      </c>
      <c r="BB50" s="5">
        <f t="shared" si="2"/>
        <v>6685362713</v>
      </c>
      <c r="BC50" s="119">
        <v>3135310070</v>
      </c>
      <c r="BD50" s="122">
        <f t="shared" si="3"/>
        <v>9820672783</v>
      </c>
      <c r="BE50" s="123">
        <f t="shared" si="4"/>
        <v>2888.6084641216871</v>
      </c>
      <c r="BF50" s="123">
        <f t="shared" si="5"/>
        <v>9047.9339813249426</v>
      </c>
      <c r="BG50" s="124">
        <f t="shared" si="6"/>
        <v>2.1322811982675764</v>
      </c>
      <c r="BK50">
        <f t="shared" si="11"/>
        <v>1.0677456453E+16</v>
      </c>
      <c r="BL50">
        <f t="shared" si="7"/>
        <v>3135310070</v>
      </c>
      <c r="BM50">
        <f t="shared" si="17"/>
        <v>25543247</v>
      </c>
      <c r="BN50" s="6">
        <v>6685.3627130000004</v>
      </c>
    </row>
    <row r="51" spans="1:66" x14ac:dyDescent="0.25">
      <c r="A51" s="3">
        <v>46</v>
      </c>
      <c r="B51" s="4" t="s">
        <v>58</v>
      </c>
      <c r="C51" s="5">
        <v>23</v>
      </c>
      <c r="D51" s="5">
        <v>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125">
        <v>0</v>
      </c>
      <c r="K51" s="125">
        <v>0</v>
      </c>
      <c r="L51" s="5">
        <v>2319472</v>
      </c>
      <c r="M51" s="5">
        <v>752295</v>
      </c>
      <c r="N51" s="5">
        <v>875373</v>
      </c>
      <c r="O51">
        <v>1372939885</v>
      </c>
      <c r="P51">
        <v>607015810.5</v>
      </c>
      <c r="Q51">
        <f t="shared" si="14"/>
        <v>1825.0020071913279</v>
      </c>
      <c r="R51">
        <f t="shared" si="12"/>
        <v>693.43675267571655</v>
      </c>
      <c r="S51" t="e">
        <f t="shared" si="15"/>
        <v>#DIV/0!</v>
      </c>
      <c r="T51" t="e">
        <f t="shared" si="13"/>
        <v>#DIV/0!</v>
      </c>
      <c r="AG51" s="6"/>
      <c r="AH51" s="6"/>
      <c r="AK51" s="6"/>
      <c r="AL51" s="6"/>
    </row>
    <row r="52" spans="1:66" x14ac:dyDescent="0.25">
      <c r="A52" s="3">
        <v>47</v>
      </c>
      <c r="B52" s="4" t="s">
        <v>59</v>
      </c>
      <c r="C52" s="5">
        <v>13</v>
      </c>
      <c r="D52" s="5">
        <v>19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125">
        <v>0</v>
      </c>
      <c r="K52" s="125">
        <v>0</v>
      </c>
      <c r="L52" s="5">
        <v>113349</v>
      </c>
      <c r="M52" s="5">
        <v>127380</v>
      </c>
      <c r="N52" s="5">
        <v>206760</v>
      </c>
      <c r="O52">
        <v>620451181</v>
      </c>
      <c r="P52">
        <v>351735047</v>
      </c>
      <c r="Q52">
        <f t="shared" si="14"/>
        <v>4870.8681190139741</v>
      </c>
      <c r="R52">
        <f t="shared" si="12"/>
        <v>1701.1755029986457</v>
      </c>
      <c r="S52" t="e">
        <f t="shared" si="15"/>
        <v>#DIV/0!</v>
      </c>
      <c r="T52" t="e">
        <f t="shared" si="13"/>
        <v>#DIV/0!</v>
      </c>
      <c r="AG52" s="6"/>
      <c r="AH52" s="6"/>
      <c r="AR52" s="82">
        <v>1000000</v>
      </c>
      <c r="AS52" s="82"/>
    </row>
    <row r="53" spans="1:66" x14ac:dyDescent="0.25">
      <c r="A53" s="3">
        <v>48</v>
      </c>
      <c r="B53" s="4" t="s">
        <v>60</v>
      </c>
      <c r="C53" s="5">
        <v>45</v>
      </c>
      <c r="D53" s="5">
        <v>52</v>
      </c>
      <c r="E53" s="5">
        <v>0</v>
      </c>
      <c r="F53" s="5">
        <v>0</v>
      </c>
      <c r="G53" s="5">
        <v>588785</v>
      </c>
      <c r="H53" s="5">
        <v>4245</v>
      </c>
      <c r="I53" s="5">
        <v>1479790</v>
      </c>
      <c r="J53" s="125">
        <v>30890310</v>
      </c>
      <c r="K53" s="125">
        <v>4491797127</v>
      </c>
      <c r="L53" s="5">
        <v>391493</v>
      </c>
      <c r="M53" s="5">
        <v>317683</v>
      </c>
      <c r="N53" s="5">
        <v>611165</v>
      </c>
      <c r="O53">
        <v>1615687220</v>
      </c>
      <c r="P53">
        <v>1143723760</v>
      </c>
      <c r="Q53">
        <f t="shared" si="14"/>
        <v>5085.8472754286504</v>
      </c>
      <c r="R53">
        <f t="shared" si="12"/>
        <v>1871.3829489581374</v>
      </c>
      <c r="S53">
        <f t="shared" si="15"/>
        <v>52.46449892575388</v>
      </c>
      <c r="T53">
        <f t="shared" si="13"/>
        <v>7628.9258846607845</v>
      </c>
      <c r="AG53" s="6"/>
      <c r="AH53" s="6"/>
    </row>
    <row r="54" spans="1:66" x14ac:dyDescent="0.25">
      <c r="A54" s="3">
        <v>49</v>
      </c>
      <c r="B54" s="4" t="s">
        <v>61</v>
      </c>
      <c r="C54" s="5">
        <v>102</v>
      </c>
      <c r="D54" s="5">
        <v>136</v>
      </c>
      <c r="E54" s="5">
        <v>0</v>
      </c>
      <c r="F54" s="5">
        <v>0</v>
      </c>
      <c r="G54" s="5">
        <v>1270641</v>
      </c>
      <c r="H54" s="5">
        <v>5431</v>
      </c>
      <c r="I54" s="5">
        <v>4477614</v>
      </c>
      <c r="J54" s="125">
        <v>25543247</v>
      </c>
      <c r="K54" s="125">
        <v>10677456453</v>
      </c>
      <c r="L54" s="5">
        <v>1085405</v>
      </c>
      <c r="M54" s="5">
        <v>1985610</v>
      </c>
      <c r="N54" s="5">
        <v>2697966</v>
      </c>
      <c r="O54">
        <v>6685362713</v>
      </c>
      <c r="P54">
        <v>3135310070</v>
      </c>
      <c r="Q54">
        <f t="shared" si="14"/>
        <v>3366.9062469467822</v>
      </c>
      <c r="R54">
        <f t="shared" si="12"/>
        <v>1162.1014015743713</v>
      </c>
      <c r="S54">
        <f t="shared" si="15"/>
        <v>20.10264661694373</v>
      </c>
      <c r="T54">
        <f t="shared" si="13"/>
        <v>8403.2047234427355</v>
      </c>
    </row>
    <row r="55" spans="1:66" x14ac:dyDescent="0.25">
      <c r="A55" s="3">
        <v>50</v>
      </c>
      <c r="B55" s="18"/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9.0000000000000002E-6</v>
      </c>
      <c r="L55" s="5">
        <v>3</v>
      </c>
      <c r="M55" s="5">
        <v>0</v>
      </c>
      <c r="N55" s="5">
        <v>3</v>
      </c>
      <c r="O55" s="6">
        <v>0</v>
      </c>
      <c r="P55" s="6">
        <v>7.5500000000000003E-3</v>
      </c>
    </row>
    <row r="56" spans="1:66" ht="13" x14ac:dyDescent="0.25">
      <c r="A56" s="3">
        <v>51</v>
      </c>
      <c r="B56" s="18" t="s">
        <v>101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1338589</v>
      </c>
      <c r="M56" s="5">
        <v>0</v>
      </c>
      <c r="N56" s="5">
        <v>333570</v>
      </c>
      <c r="O56" s="6">
        <v>0</v>
      </c>
      <c r="P56" s="6">
        <v>160.89463699000001</v>
      </c>
      <c r="AA56" s="70"/>
      <c r="AB56" s="74"/>
      <c r="AC56" s="72"/>
      <c r="AD56" s="73"/>
      <c r="AE56" s="73"/>
      <c r="AF56" s="73"/>
      <c r="AG56" s="131"/>
      <c r="AH56" s="154"/>
      <c r="AI56" s="154"/>
      <c r="AJ56" s="154"/>
    </row>
    <row r="57" spans="1:66" ht="12.5" customHeight="1" x14ac:dyDescent="0.25">
      <c r="A57" s="3">
        <v>52</v>
      </c>
      <c r="B57" s="18" t="s">
        <v>102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248703</v>
      </c>
      <c r="M57" s="5">
        <v>360403</v>
      </c>
      <c r="N57" s="5">
        <v>71137</v>
      </c>
      <c r="O57" s="6">
        <v>1320.0894290000001</v>
      </c>
      <c r="P57" s="6">
        <v>60.337911390000002</v>
      </c>
      <c r="AA57" s="71"/>
      <c r="AB57" s="74"/>
      <c r="AC57" s="73"/>
      <c r="AD57" s="155"/>
      <c r="AE57" s="156"/>
      <c r="AF57" s="155"/>
      <c r="AG57" s="156"/>
    </row>
    <row r="58" spans="1:66" ht="13" x14ac:dyDescent="0.25">
      <c r="A58" s="3">
        <v>53</v>
      </c>
      <c r="B58" s="18" t="s">
        <v>103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2309</v>
      </c>
      <c r="M58" s="5">
        <v>419</v>
      </c>
      <c r="N58" s="5">
        <v>8</v>
      </c>
      <c r="O58" s="6">
        <v>0.81869999999999998</v>
      </c>
      <c r="P58" s="6">
        <v>7.639E-3</v>
      </c>
      <c r="AA58" s="76" t="s">
        <v>1</v>
      </c>
      <c r="AB58" s="63" t="s">
        <v>206</v>
      </c>
      <c r="AC58" s="64" t="s">
        <v>211</v>
      </c>
      <c r="AD58" s="64" t="s">
        <v>212</v>
      </c>
      <c r="AE58" s="77" t="s">
        <v>213</v>
      </c>
      <c r="AF58" s="78" t="s">
        <v>214</v>
      </c>
    </row>
    <row r="59" spans="1:66" ht="12.5" customHeight="1" x14ac:dyDescent="0.25">
      <c r="A59" s="3">
        <v>54</v>
      </c>
      <c r="B59" s="18" t="s">
        <v>104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6">
        <v>0</v>
      </c>
      <c r="P59" s="6">
        <v>0</v>
      </c>
      <c r="AA59" s="75" t="s">
        <v>34</v>
      </c>
      <c r="AB59" s="5">
        <v>505153</v>
      </c>
      <c r="AC59" s="6">
        <v>340.20783699999998</v>
      </c>
      <c r="AD59" s="6">
        <v>46410.75316</v>
      </c>
      <c r="AE59" s="6">
        <v>127303.1520623</v>
      </c>
      <c r="AF59" s="62">
        <v>32863.875194392342</v>
      </c>
    </row>
    <row r="60" spans="1:66" ht="12.5" customHeight="1" x14ac:dyDescent="0.25">
      <c r="A60" s="3">
        <v>55</v>
      </c>
      <c r="B60" s="18" t="s">
        <v>105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6">
        <v>0</v>
      </c>
      <c r="P60" s="6">
        <v>0</v>
      </c>
      <c r="AA60" s="75" t="s">
        <v>35</v>
      </c>
      <c r="AB60" s="5">
        <v>21948</v>
      </c>
      <c r="AC60" s="6">
        <v>0</v>
      </c>
      <c r="AD60" s="6">
        <v>0</v>
      </c>
      <c r="AE60" s="6">
        <v>12652.275331999999</v>
      </c>
      <c r="AF60" s="62">
        <v>943.40077623000047</v>
      </c>
    </row>
    <row r="61" spans="1:66" x14ac:dyDescent="0.25">
      <c r="A61" s="3">
        <v>56</v>
      </c>
      <c r="B61" s="18" t="s">
        <v>106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34312263</v>
      </c>
      <c r="M61" s="5">
        <v>403281</v>
      </c>
      <c r="N61" s="5">
        <v>914728</v>
      </c>
      <c r="O61" s="6">
        <v>765.90227000000004</v>
      </c>
      <c r="P61" s="6">
        <v>411.01531089000008</v>
      </c>
      <c r="Z61" s="3"/>
      <c r="AA61" s="75" t="s">
        <v>32</v>
      </c>
      <c r="AB61" s="5">
        <v>29741</v>
      </c>
      <c r="AC61" s="6">
        <v>3.8865793599999998</v>
      </c>
      <c r="AD61" s="6">
        <v>342.47948167999999</v>
      </c>
      <c r="AE61" s="6">
        <v>39353.657273570003</v>
      </c>
      <c r="AF61" s="62">
        <v>7124.7857290099992</v>
      </c>
    </row>
    <row r="62" spans="1:66" x14ac:dyDescent="0.25">
      <c r="A62" s="3">
        <v>57</v>
      </c>
      <c r="B62" s="19" t="s">
        <v>107</v>
      </c>
      <c r="C62" s="5">
        <v>290</v>
      </c>
      <c r="D62" s="5">
        <v>2</v>
      </c>
      <c r="E62" s="5">
        <v>0</v>
      </c>
      <c r="F62" s="5">
        <v>0</v>
      </c>
      <c r="G62" s="5">
        <v>0</v>
      </c>
      <c r="H62" s="5">
        <v>3503</v>
      </c>
      <c r="I62" s="5">
        <v>0</v>
      </c>
      <c r="J62" s="5">
        <v>11.9384</v>
      </c>
      <c r="K62" s="5">
        <v>0</v>
      </c>
      <c r="L62" s="5">
        <v>491623</v>
      </c>
      <c r="M62" s="5">
        <v>768711</v>
      </c>
      <c r="N62" s="5">
        <v>0</v>
      </c>
      <c r="O62" s="6">
        <v>3038.2128309999998</v>
      </c>
      <c r="P62" s="6">
        <v>0</v>
      </c>
      <c r="Z62" s="3"/>
      <c r="AA62" s="75" t="s">
        <v>99</v>
      </c>
      <c r="AB62" s="5">
        <v>1558</v>
      </c>
      <c r="AC62" s="6">
        <v>16.892085000000002</v>
      </c>
      <c r="AD62" s="6">
        <v>62.605263999999998</v>
      </c>
      <c r="AE62" s="6">
        <v>2298.8923070000001</v>
      </c>
      <c r="AF62" s="62">
        <v>588.05544399999997</v>
      </c>
    </row>
    <row r="63" spans="1:66" x14ac:dyDescent="0.25">
      <c r="A63" s="3">
        <v>58</v>
      </c>
      <c r="B63" s="19" t="s">
        <v>108</v>
      </c>
      <c r="C63" s="5">
        <v>102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152325</v>
      </c>
      <c r="M63" s="5">
        <v>71227</v>
      </c>
      <c r="N63" s="5">
        <v>14129</v>
      </c>
      <c r="O63" s="6">
        <v>262.50814500000001</v>
      </c>
      <c r="P63" s="6">
        <v>25.727580270000001</v>
      </c>
      <c r="Z63" s="3"/>
      <c r="AA63" s="75" t="s">
        <v>39</v>
      </c>
      <c r="AB63" s="5">
        <v>1074</v>
      </c>
      <c r="AC63" s="6">
        <v>0.37540000000000001</v>
      </c>
      <c r="AD63" s="6">
        <v>33.323340999999999</v>
      </c>
      <c r="AE63" s="6">
        <v>1888.92605</v>
      </c>
      <c r="AF63" s="62">
        <v>338.08599800000002</v>
      </c>
    </row>
    <row r="64" spans="1:66" x14ac:dyDescent="0.25">
      <c r="A64" s="3">
        <v>59</v>
      </c>
      <c r="B64" s="19" t="s">
        <v>109</v>
      </c>
      <c r="C64" s="5">
        <v>34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8106</v>
      </c>
      <c r="M64" s="5">
        <v>146025</v>
      </c>
      <c r="N64" s="5">
        <v>5319</v>
      </c>
      <c r="O64" s="6">
        <v>770.64</v>
      </c>
      <c r="P64" s="6">
        <v>4.5199999999999996</v>
      </c>
      <c r="Z64" s="3"/>
      <c r="AA64" s="75" t="s">
        <v>41</v>
      </c>
      <c r="AB64" s="5">
        <v>408770</v>
      </c>
      <c r="AC64" s="6">
        <v>932.99281070000006</v>
      </c>
      <c r="AD64" s="6">
        <v>122059.993801</v>
      </c>
      <c r="AE64" s="6">
        <v>171070.21476377003</v>
      </c>
      <c r="AF64" s="62">
        <v>56155.270790000002</v>
      </c>
    </row>
    <row r="65" spans="1:32" x14ac:dyDescent="0.25">
      <c r="A65" s="3">
        <v>60</v>
      </c>
      <c r="B65" s="19" t="s">
        <v>110</v>
      </c>
      <c r="C65" s="5">
        <v>320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372266</v>
      </c>
      <c r="M65" s="5">
        <v>852001</v>
      </c>
      <c r="N65" s="5">
        <v>0</v>
      </c>
      <c r="O65" s="6">
        <v>2491.6</v>
      </c>
      <c r="P65" s="6">
        <v>0</v>
      </c>
      <c r="Z65" s="3"/>
      <c r="AA65" s="75" t="s">
        <v>42</v>
      </c>
      <c r="AB65" s="5">
        <v>329108</v>
      </c>
      <c r="AC65" s="6">
        <v>135.847972</v>
      </c>
      <c r="AD65" s="6">
        <v>53334.154515000002</v>
      </c>
      <c r="AE65" s="6">
        <v>161324.621683</v>
      </c>
      <c r="AF65" s="62">
        <v>52894.216675999996</v>
      </c>
    </row>
    <row r="66" spans="1:32" x14ac:dyDescent="0.25">
      <c r="A66" s="3">
        <v>61</v>
      </c>
      <c r="B66" s="19" t="s">
        <v>111</v>
      </c>
      <c r="C66" s="5">
        <v>84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1371405</v>
      </c>
      <c r="M66" s="5">
        <v>379181</v>
      </c>
      <c r="N66" s="5">
        <v>13297</v>
      </c>
      <c r="O66" s="6">
        <v>2107.3784900000001</v>
      </c>
      <c r="P66" s="6">
        <v>16.282239999999998</v>
      </c>
      <c r="Z66" s="3"/>
      <c r="AA66" s="75" t="s">
        <v>43</v>
      </c>
      <c r="AB66" s="5">
        <v>1640</v>
      </c>
      <c r="AC66" s="6">
        <v>0</v>
      </c>
      <c r="AD66" s="6">
        <v>0</v>
      </c>
      <c r="AE66" s="6">
        <v>5394.3756129499998</v>
      </c>
      <c r="AF66" s="62">
        <v>661.57491075999997</v>
      </c>
    </row>
    <row r="67" spans="1:32" x14ac:dyDescent="0.25">
      <c r="A67" s="3">
        <v>62</v>
      </c>
      <c r="B67" s="19" t="s">
        <v>112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6">
        <v>0</v>
      </c>
      <c r="P67" s="6">
        <v>0</v>
      </c>
      <c r="Z67" s="3"/>
      <c r="AA67" s="75" t="s">
        <v>44</v>
      </c>
      <c r="AB67" s="5">
        <v>35064</v>
      </c>
      <c r="AC67" s="6">
        <v>73.729114890000005</v>
      </c>
      <c r="AD67" s="6">
        <v>16416.65319927</v>
      </c>
      <c r="AE67" s="6">
        <v>13353.995940430001</v>
      </c>
      <c r="AF67" s="62">
        <v>3360.4790384299999</v>
      </c>
    </row>
    <row r="68" spans="1:32" ht="25" x14ac:dyDescent="0.25">
      <c r="A68" s="3">
        <v>63</v>
      </c>
      <c r="B68" s="19" t="s">
        <v>113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978</v>
      </c>
      <c r="M68" s="5">
        <v>24</v>
      </c>
      <c r="N68" s="5">
        <v>5</v>
      </c>
      <c r="O68" s="6">
        <v>7.0199999999999999E-2</v>
      </c>
      <c r="P68" s="6">
        <v>8.5520000000000006E-3</v>
      </c>
      <c r="Z68" s="3"/>
      <c r="AA68" s="75" t="s">
        <v>47</v>
      </c>
      <c r="AB68" s="5">
        <v>21829</v>
      </c>
      <c r="AC68" s="6">
        <v>0</v>
      </c>
      <c r="AD68" s="6">
        <v>0</v>
      </c>
      <c r="AE68" s="6">
        <v>22953.187218540003</v>
      </c>
      <c r="AF68" s="62">
        <v>2762.9987385500003</v>
      </c>
    </row>
    <row r="69" spans="1:32" x14ac:dyDescent="0.25">
      <c r="A69" s="3">
        <v>64</v>
      </c>
      <c r="B69" s="19" t="s">
        <v>114</v>
      </c>
      <c r="C69" s="5">
        <v>25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6447</v>
      </c>
      <c r="M69" s="5">
        <v>24897</v>
      </c>
      <c r="N69" s="5">
        <v>4661</v>
      </c>
      <c r="O69" s="6">
        <v>54.102400000000003</v>
      </c>
      <c r="P69" s="6">
        <v>6.1787727699999992</v>
      </c>
      <c r="Z69" s="3"/>
      <c r="AA69" s="75" t="s">
        <v>48</v>
      </c>
      <c r="AB69" s="5">
        <v>8225</v>
      </c>
      <c r="AC69" s="6">
        <v>146.66357793</v>
      </c>
      <c r="AD69" s="6">
        <v>11415.962289620002</v>
      </c>
      <c r="AE69" s="6">
        <v>27545.458957149996</v>
      </c>
      <c r="AF69" s="62">
        <v>8905.1065494000013</v>
      </c>
    </row>
    <row r="70" spans="1:32" x14ac:dyDescent="0.25">
      <c r="A70" s="3">
        <v>65</v>
      </c>
      <c r="B70" s="19" t="s">
        <v>115</v>
      </c>
      <c r="C70" s="5">
        <v>152</v>
      </c>
      <c r="D70" s="5">
        <v>3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768310</v>
      </c>
      <c r="M70" s="5">
        <v>356332</v>
      </c>
      <c r="N70" s="5">
        <v>58036</v>
      </c>
      <c r="O70" s="6">
        <v>119.12</v>
      </c>
      <c r="P70" s="6">
        <v>4.37</v>
      </c>
      <c r="Z70" s="3"/>
      <c r="AA70" s="75" t="s">
        <v>51</v>
      </c>
      <c r="AB70" s="5">
        <v>5039</v>
      </c>
      <c r="AC70" s="6">
        <v>1.8710191299999999</v>
      </c>
      <c r="AD70" s="6">
        <v>120.26365853999999</v>
      </c>
      <c r="AE70" s="6">
        <v>18226.5393</v>
      </c>
      <c r="AF70" s="62">
        <v>618.66823939999995</v>
      </c>
    </row>
    <row r="71" spans="1:32" x14ac:dyDescent="0.25">
      <c r="A71" s="3">
        <v>66</v>
      </c>
      <c r="B71" s="19" t="s">
        <v>116</v>
      </c>
      <c r="C71" s="5">
        <v>60</v>
      </c>
      <c r="D71" s="5">
        <v>34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33871</v>
      </c>
      <c r="M71" s="5">
        <v>129969</v>
      </c>
      <c r="N71" s="5">
        <v>7098</v>
      </c>
      <c r="O71" s="6">
        <v>460.983385</v>
      </c>
      <c r="P71" s="6">
        <v>9.1925593800000005</v>
      </c>
      <c r="Z71" s="3"/>
      <c r="AA71" s="75" t="s">
        <v>52</v>
      </c>
      <c r="AB71" s="5">
        <v>6149</v>
      </c>
      <c r="AC71" s="6">
        <v>0</v>
      </c>
      <c r="AD71" s="6">
        <v>0</v>
      </c>
      <c r="AE71" s="6">
        <v>3841.5</v>
      </c>
      <c r="AF71" s="62">
        <v>342.8175</v>
      </c>
    </row>
    <row r="72" spans="1:32" ht="13" x14ac:dyDescent="0.3">
      <c r="A72" s="9"/>
      <c r="B72" s="10" t="s">
        <v>79</v>
      </c>
      <c r="C72" s="11">
        <v>104011</v>
      </c>
      <c r="D72" s="11">
        <v>101173</v>
      </c>
      <c r="E72" s="11">
        <f>SUM(E6:E71)</f>
        <v>3193356</v>
      </c>
      <c r="F72" s="11">
        <f>SUM(F6:F71)</f>
        <v>0</v>
      </c>
      <c r="G72" s="11">
        <v>37782876</v>
      </c>
      <c r="H72" s="11">
        <v>727175</v>
      </c>
      <c r="I72" s="11">
        <v>132318612</v>
      </c>
      <c r="J72" s="11">
        <v>3396.1486415799995</v>
      </c>
      <c r="K72" s="11">
        <v>448369.73470076005</v>
      </c>
      <c r="L72" s="11">
        <v>906465905</v>
      </c>
      <c r="M72" s="11">
        <v>758938556</v>
      </c>
      <c r="N72" s="11">
        <f>SUM(N6:N71)</f>
        <v>333766148</v>
      </c>
      <c r="O72" s="11">
        <f>SUM(O6:O71)</f>
        <v>2636579381448.4673</v>
      </c>
      <c r="P72" s="11">
        <f>SUM(P6:P71)</f>
        <v>453872779620.33508</v>
      </c>
      <c r="Z72" s="3"/>
      <c r="AA72" s="75" t="s">
        <v>53</v>
      </c>
      <c r="AB72" s="5">
        <v>85392</v>
      </c>
      <c r="AC72" s="6">
        <v>27.14571776</v>
      </c>
      <c r="AD72" s="6">
        <v>2439.0782190800001</v>
      </c>
      <c r="AE72" s="6">
        <v>13550.982709</v>
      </c>
      <c r="AF72" s="62">
        <v>3453.2712253</v>
      </c>
    </row>
    <row r="73" spans="1:32" x14ac:dyDescent="0.25">
      <c r="A73" s="158" t="s">
        <v>117</v>
      </c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Z73" s="3"/>
      <c r="AA73" s="75" t="s">
        <v>54</v>
      </c>
      <c r="AB73" s="5">
        <v>39192</v>
      </c>
      <c r="AC73" s="6">
        <v>20.4968</v>
      </c>
      <c r="AD73" s="6">
        <v>45219.834348999997</v>
      </c>
      <c r="AE73" s="6">
        <v>0</v>
      </c>
      <c r="AF73" s="62">
        <v>0</v>
      </c>
    </row>
    <row r="74" spans="1:32" x14ac:dyDescent="0.25">
      <c r="A74" s="12">
        <v>1</v>
      </c>
      <c r="B74" s="157" t="s">
        <v>80</v>
      </c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Z74" s="3"/>
      <c r="AA74" s="75" t="s">
        <v>55</v>
      </c>
      <c r="AB74" s="5">
        <v>0</v>
      </c>
      <c r="AC74" s="6">
        <v>1.8739638799999998</v>
      </c>
      <c r="AD74" s="6">
        <v>389.57521916000002</v>
      </c>
      <c r="AE74" s="6">
        <v>0</v>
      </c>
      <c r="AF74" s="62">
        <v>0</v>
      </c>
    </row>
    <row r="75" spans="1:32" x14ac:dyDescent="0.25">
      <c r="A75" s="12">
        <v>2</v>
      </c>
      <c r="B75" s="157" t="s">
        <v>81</v>
      </c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Z75" s="3"/>
      <c r="AA75" s="75" t="s">
        <v>56</v>
      </c>
      <c r="AB75" s="5">
        <v>0</v>
      </c>
      <c r="AC75" s="6">
        <v>0</v>
      </c>
      <c r="AD75" s="6">
        <v>0</v>
      </c>
      <c r="AE75" s="6">
        <v>1.1899613500000001</v>
      </c>
      <c r="AF75" s="62">
        <v>0.99608355000000004</v>
      </c>
    </row>
    <row r="76" spans="1:32" x14ac:dyDescent="0.25">
      <c r="A76" s="12">
        <v>3</v>
      </c>
      <c r="B76" s="157" t="s">
        <v>82</v>
      </c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Z76" s="3"/>
      <c r="AA76" s="75" t="s">
        <v>57</v>
      </c>
      <c r="AB76" s="5">
        <v>34846</v>
      </c>
      <c r="AC76" s="6">
        <v>236.71292299999999</v>
      </c>
      <c r="AD76" s="6">
        <v>42245.965922000003</v>
      </c>
      <c r="AE76" s="6">
        <v>8925.8243849999999</v>
      </c>
      <c r="AF76" s="62">
        <v>9075.9032819999993</v>
      </c>
    </row>
    <row r="77" spans="1:32" x14ac:dyDescent="0.25">
      <c r="A77" s="12">
        <v>4</v>
      </c>
      <c r="B77" s="157" t="s">
        <v>83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Z77" s="3"/>
      <c r="AA77" s="75" t="s">
        <v>58</v>
      </c>
      <c r="AB77" s="5">
        <v>0</v>
      </c>
      <c r="AC77" s="6">
        <v>0</v>
      </c>
      <c r="AD77" s="6">
        <v>0</v>
      </c>
      <c r="AE77" s="6">
        <v>1372.939885</v>
      </c>
      <c r="AF77" s="62">
        <v>607.01581050000004</v>
      </c>
    </row>
    <row r="78" spans="1:32" x14ac:dyDescent="0.25">
      <c r="A78" s="12">
        <v>5</v>
      </c>
      <c r="B78" s="157" t="s">
        <v>84</v>
      </c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Z78" s="3"/>
      <c r="AA78" s="75" t="s">
        <v>59</v>
      </c>
      <c r="AB78" s="5">
        <v>0</v>
      </c>
      <c r="AC78" s="6">
        <v>0</v>
      </c>
      <c r="AD78" s="6">
        <v>0</v>
      </c>
      <c r="AE78" s="6">
        <v>620.45118100000002</v>
      </c>
      <c r="AF78" s="62">
        <v>351.73504700000001</v>
      </c>
    </row>
    <row r="79" spans="1:32" x14ac:dyDescent="0.25">
      <c r="A79" s="12">
        <v>6</v>
      </c>
      <c r="B79" s="157" t="s">
        <v>85</v>
      </c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Z79" s="3"/>
      <c r="AA79" s="75" t="s">
        <v>60</v>
      </c>
      <c r="AB79" s="5">
        <v>0</v>
      </c>
      <c r="AC79" s="6">
        <v>30.890309999999999</v>
      </c>
      <c r="AD79" s="6">
        <v>4491.7971269999998</v>
      </c>
      <c r="AE79" s="6">
        <v>1615.68722</v>
      </c>
      <c r="AF79" s="62">
        <v>1143.7237600000001</v>
      </c>
    </row>
    <row r="80" spans="1:32" x14ac:dyDescent="0.25">
      <c r="A80" s="12">
        <v>7</v>
      </c>
      <c r="B80" s="157" t="s">
        <v>86</v>
      </c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Z80" s="3"/>
      <c r="AA80" s="75" t="s">
        <v>61</v>
      </c>
      <c r="AB80" s="5">
        <v>0</v>
      </c>
      <c r="AC80" s="6">
        <v>25.543247000000001</v>
      </c>
      <c r="AD80" s="6">
        <v>10677.456453000001</v>
      </c>
      <c r="AE80" s="6">
        <v>6685.3627130000004</v>
      </c>
      <c r="AF80" s="62">
        <v>3135.31007</v>
      </c>
    </row>
    <row r="81" spans="1:32" x14ac:dyDescent="0.25">
      <c r="A81" s="12">
        <v>8</v>
      </c>
      <c r="B81" s="157" t="s">
        <v>87</v>
      </c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Z81" s="3"/>
      <c r="AA81" s="75" t="s">
        <v>49</v>
      </c>
      <c r="AB81" s="5">
        <v>431694</v>
      </c>
      <c r="AC81" s="6">
        <v>311.53788098000001</v>
      </c>
      <c r="AD81" s="6">
        <v>8794.8387055300009</v>
      </c>
      <c r="AE81" s="6">
        <v>2409.4992109600003</v>
      </c>
      <c r="AF81" s="62">
        <v>557.05326963999994</v>
      </c>
    </row>
    <row r="82" spans="1:32" x14ac:dyDescent="0.25">
      <c r="A82" s="12">
        <v>9</v>
      </c>
      <c r="B82" s="157" t="s">
        <v>88</v>
      </c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Z82" s="3"/>
      <c r="AA82" s="79" t="s">
        <v>40</v>
      </c>
      <c r="AB82" s="66">
        <v>11209</v>
      </c>
      <c r="AC82" s="67">
        <v>0</v>
      </c>
      <c r="AD82" s="67">
        <v>0</v>
      </c>
      <c r="AE82" s="67">
        <v>32405.845656319998</v>
      </c>
      <c r="AF82" s="68">
        <v>4653.887739419999</v>
      </c>
    </row>
    <row r="83" spans="1:32" x14ac:dyDescent="0.25">
      <c r="A83" s="12">
        <v>10</v>
      </c>
      <c r="B83" s="157" t="s">
        <v>89</v>
      </c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Z83" s="3"/>
    </row>
    <row r="84" spans="1:32" x14ac:dyDescent="0.25">
      <c r="A84" s="12">
        <v>11</v>
      </c>
      <c r="B84" s="157" t="s">
        <v>90</v>
      </c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Z84" s="3"/>
    </row>
    <row r="85" spans="1:32" x14ac:dyDescent="0.25">
      <c r="A85" s="12">
        <v>12</v>
      </c>
      <c r="B85" s="157" t="s">
        <v>91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</row>
    <row r="86" spans="1:32" x14ac:dyDescent="0.25">
      <c r="A86" s="12">
        <v>13</v>
      </c>
      <c r="B86" s="157" t="s">
        <v>92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</row>
    <row r="87" spans="1:32" x14ac:dyDescent="0.25">
      <c r="A87" s="12">
        <v>14</v>
      </c>
      <c r="B87" s="157" t="s">
        <v>93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</row>
    <row r="91" spans="1:32" x14ac:dyDescent="0.25">
      <c r="B91" s="50"/>
      <c r="C91" s="51"/>
      <c r="D91" s="52"/>
    </row>
    <row r="92" spans="1:32" x14ac:dyDescent="0.25">
      <c r="B92" s="53"/>
      <c r="C92" s="54"/>
      <c r="D92" s="55"/>
    </row>
    <row r="93" spans="1:32" x14ac:dyDescent="0.25">
      <c r="B93" s="53"/>
      <c r="C93" s="54"/>
      <c r="D93" s="55"/>
    </row>
    <row r="94" spans="1:32" x14ac:dyDescent="0.25">
      <c r="B94" s="53"/>
      <c r="C94" s="54"/>
      <c r="D94" s="55"/>
    </row>
    <row r="95" spans="1:32" x14ac:dyDescent="0.25">
      <c r="B95" s="53"/>
      <c r="C95" s="54"/>
      <c r="D95" s="55"/>
    </row>
    <row r="96" spans="1:32" x14ac:dyDescent="0.25">
      <c r="B96" s="53"/>
      <c r="C96" s="54"/>
      <c r="D96" s="55"/>
    </row>
    <row r="97" spans="2:4" x14ac:dyDescent="0.25">
      <c r="B97" s="53"/>
      <c r="C97" s="54"/>
      <c r="D97" s="55"/>
    </row>
    <row r="98" spans="2:4" x14ac:dyDescent="0.25">
      <c r="B98" s="53"/>
      <c r="C98" s="54"/>
      <c r="D98" s="55"/>
    </row>
    <row r="99" spans="2:4" x14ac:dyDescent="0.25">
      <c r="B99" s="53"/>
      <c r="C99" s="54"/>
      <c r="D99" s="55"/>
    </row>
    <row r="100" spans="2:4" x14ac:dyDescent="0.25">
      <c r="B100" s="53"/>
      <c r="C100" s="54"/>
      <c r="D100" s="55"/>
    </row>
    <row r="101" spans="2:4" x14ac:dyDescent="0.25">
      <c r="B101" s="53"/>
      <c r="C101" s="54"/>
      <c r="D101" s="55"/>
    </row>
    <row r="102" spans="2:4" x14ac:dyDescent="0.25">
      <c r="B102" s="53"/>
      <c r="C102" s="54"/>
      <c r="D102" s="55"/>
    </row>
    <row r="103" spans="2:4" x14ac:dyDescent="0.25">
      <c r="B103" s="53"/>
      <c r="C103" s="54"/>
      <c r="D103" s="55"/>
    </row>
    <row r="104" spans="2:4" x14ac:dyDescent="0.25">
      <c r="B104" s="53"/>
      <c r="C104" s="54"/>
      <c r="D104" s="55"/>
    </row>
    <row r="105" spans="2:4" x14ac:dyDescent="0.25">
      <c r="B105" s="53"/>
      <c r="C105" s="54"/>
      <c r="D105" s="55"/>
    </row>
    <row r="106" spans="2:4" x14ac:dyDescent="0.25">
      <c r="B106" s="53"/>
      <c r="C106" s="54"/>
      <c r="D106" s="55"/>
    </row>
    <row r="107" spans="2:4" x14ac:dyDescent="0.25">
      <c r="B107" s="53"/>
      <c r="C107" s="54"/>
      <c r="D107" s="55"/>
    </row>
    <row r="108" spans="2:4" x14ac:dyDescent="0.25">
      <c r="B108" s="56"/>
      <c r="C108" s="57"/>
      <c r="D108" s="58"/>
    </row>
  </sheetData>
  <mergeCells count="35">
    <mergeCell ref="AG56:AJ56"/>
    <mergeCell ref="AD57:AE57"/>
    <mergeCell ref="AF57:AG57"/>
    <mergeCell ref="A1:P1"/>
    <mergeCell ref="A2:A5"/>
    <mergeCell ref="B2:B5"/>
    <mergeCell ref="C2:D2"/>
    <mergeCell ref="E2:F2"/>
    <mergeCell ref="G2:K2"/>
    <mergeCell ref="L2:P2"/>
    <mergeCell ref="C3:C4"/>
    <mergeCell ref="D3:D4"/>
    <mergeCell ref="E3:E4"/>
    <mergeCell ref="B77:P77"/>
    <mergeCell ref="F3:F4"/>
    <mergeCell ref="G3:G4"/>
    <mergeCell ref="H3:I3"/>
    <mergeCell ref="J3:K3"/>
    <mergeCell ref="L3:L4"/>
    <mergeCell ref="M3:N3"/>
    <mergeCell ref="O3:P3"/>
    <mergeCell ref="A73:P73"/>
    <mergeCell ref="B74:P74"/>
    <mergeCell ref="B75:P75"/>
    <mergeCell ref="B76:P76"/>
    <mergeCell ref="B84:P84"/>
    <mergeCell ref="B85:P85"/>
    <mergeCell ref="B86:P86"/>
    <mergeCell ref="B87:P87"/>
    <mergeCell ref="B78:P78"/>
    <mergeCell ref="B79:P79"/>
    <mergeCell ref="B80:P80"/>
    <mergeCell ref="B81:P81"/>
    <mergeCell ref="B82:P82"/>
    <mergeCell ref="B83:P83"/>
  </mergeCells>
  <pageMargins left="0.7" right="0.7" top="0.75" bottom="0.75" header="0.3" footer="0.3"/>
  <pageSetup orientation="portrait"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1"/>
  <sheetViews>
    <sheetView topLeftCell="H1" workbookViewId="0">
      <selection activeCell="R37" sqref="R37"/>
    </sheetView>
  </sheetViews>
  <sheetFormatPr defaultRowHeight="12.5" x14ac:dyDescent="0.25"/>
  <cols>
    <col min="1" max="1" width="33.1796875" customWidth="1"/>
    <col min="2" max="2" width="23.90625" customWidth="1"/>
    <col min="3" max="3" width="21.36328125" customWidth="1"/>
    <col min="4" max="4" width="17.453125" customWidth="1"/>
    <col min="5" max="5" width="16.453125" customWidth="1"/>
    <col min="6" max="6" width="15" customWidth="1"/>
    <col min="7" max="7" width="36.90625" customWidth="1"/>
    <col min="8" max="8" width="25.1796875" customWidth="1"/>
    <col min="9" max="9" width="18.7265625" customWidth="1"/>
    <col min="10" max="10" width="18.36328125" customWidth="1"/>
  </cols>
  <sheetData>
    <row r="2" spans="1:10" x14ac:dyDescent="0.25">
      <c r="A2" s="127" t="s">
        <v>1</v>
      </c>
      <c r="B2" t="s">
        <v>228</v>
      </c>
      <c r="C2" s="81" t="s">
        <v>233</v>
      </c>
      <c r="D2" s="120" t="s">
        <v>234</v>
      </c>
      <c r="G2" s="127" t="s">
        <v>1</v>
      </c>
      <c r="H2" t="s">
        <v>229</v>
      </c>
      <c r="I2" t="s">
        <v>238</v>
      </c>
      <c r="J2" s="128" t="s">
        <v>239</v>
      </c>
    </row>
    <row r="3" spans="1:10" x14ac:dyDescent="0.25">
      <c r="A3" s="75" t="s">
        <v>54</v>
      </c>
      <c r="B3">
        <v>37656.459204797924</v>
      </c>
      <c r="C3">
        <v>37673.527752795519</v>
      </c>
      <c r="D3" s="118">
        <f t="shared" ref="D3:D34" si="0">(C3-B3)/B3</f>
        <v>4.5327012571112427E-4</v>
      </c>
      <c r="F3">
        <v>1</v>
      </c>
      <c r="G3" s="75" t="s">
        <v>57</v>
      </c>
      <c r="H3">
        <v>5605.6101675339314</v>
      </c>
      <c r="I3">
        <v>11118.526113367201</v>
      </c>
      <c r="J3" s="129">
        <f t="shared" ref="J3:J49" si="1">(I3-H3)/H3</f>
        <v>0.98346402640741593</v>
      </c>
    </row>
    <row r="4" spans="1:10" x14ac:dyDescent="0.25">
      <c r="A4" s="75" t="s">
        <v>55</v>
      </c>
      <c r="B4">
        <v>21512.795800982938</v>
      </c>
      <c r="C4">
        <v>21616.278261637861</v>
      </c>
      <c r="D4" s="118">
        <f t="shared" si="0"/>
        <v>4.8102748528015384E-3</v>
      </c>
      <c r="F4">
        <v>2</v>
      </c>
      <c r="G4" s="75" t="s">
        <v>59</v>
      </c>
      <c r="H4">
        <v>3103.1155722591288</v>
      </c>
      <c r="I4">
        <v>8576.9281422862132</v>
      </c>
      <c r="J4" s="129">
        <f t="shared" si="1"/>
        <v>1.763973156192195</v>
      </c>
    </row>
    <row r="5" spans="1:10" x14ac:dyDescent="0.25">
      <c r="A5" s="75" t="s">
        <v>44</v>
      </c>
      <c r="B5">
        <v>20470.969687897472</v>
      </c>
      <c r="C5">
        <v>0</v>
      </c>
      <c r="D5" s="118">
        <f t="shared" si="0"/>
        <v>-1</v>
      </c>
      <c r="F5">
        <v>3</v>
      </c>
      <c r="G5" s="75" t="s">
        <v>60</v>
      </c>
      <c r="H5">
        <v>2921.4411496501853</v>
      </c>
      <c r="I5">
        <v>7048.4299336131171</v>
      </c>
      <c r="J5" s="129">
        <f t="shared" si="1"/>
        <v>1.4126551152526552</v>
      </c>
    </row>
    <row r="6" spans="1:10" x14ac:dyDescent="0.25">
      <c r="A6" s="75" t="s">
        <v>57</v>
      </c>
      <c r="B6">
        <v>16804.008336379557</v>
      </c>
      <c r="C6">
        <v>16898.164685858344</v>
      </c>
      <c r="D6" s="118">
        <f t="shared" si="0"/>
        <v>5.6032077343680957E-3</v>
      </c>
      <c r="F6">
        <v>4</v>
      </c>
      <c r="G6" s="75" t="s">
        <v>61</v>
      </c>
      <c r="H6">
        <v>2888.6084641216871</v>
      </c>
      <c r="I6">
        <v>9047.9339813249426</v>
      </c>
      <c r="J6" s="129">
        <f t="shared" si="1"/>
        <v>2.1322811982675764</v>
      </c>
    </row>
    <row r="7" spans="1:10" x14ac:dyDescent="0.25">
      <c r="A7" s="75" t="s">
        <v>32</v>
      </c>
      <c r="B7">
        <v>12174.451021293235</v>
      </c>
      <c r="C7">
        <v>12312.611035512426</v>
      </c>
      <c r="D7" s="130">
        <f t="shared" si="0"/>
        <v>1.1348356815231157E-2</v>
      </c>
      <c r="F7">
        <v>5</v>
      </c>
      <c r="G7" s="75" t="s">
        <v>41</v>
      </c>
      <c r="H7">
        <v>2288.5657761320308</v>
      </c>
      <c r="I7">
        <v>9260.4035629714253</v>
      </c>
      <c r="J7" s="129">
        <f t="shared" si="1"/>
        <v>3.0463785920204982</v>
      </c>
    </row>
    <row r="8" spans="1:10" x14ac:dyDescent="0.25">
      <c r="A8" s="75" t="s">
        <v>33</v>
      </c>
      <c r="B8">
        <v>11869.015212873666</v>
      </c>
      <c r="C8">
        <v>11949.434767168126</v>
      </c>
      <c r="D8" s="118">
        <f t="shared" si="0"/>
        <v>6.7755877679921772E-3</v>
      </c>
      <c r="F8">
        <v>6</v>
      </c>
      <c r="G8" s="75" t="s">
        <v>53</v>
      </c>
      <c r="H8">
        <v>1785.3808928581584</v>
      </c>
      <c r="I8">
        <v>8791.3946200301616</v>
      </c>
      <c r="J8" s="129">
        <f t="shared" si="1"/>
        <v>3.924100316743226</v>
      </c>
    </row>
    <row r="9" spans="1:10" x14ac:dyDescent="0.25">
      <c r="A9" s="75" t="s">
        <v>41</v>
      </c>
      <c r="B9">
        <v>11307.40656483639</v>
      </c>
      <c r="C9">
        <v>11393.837251125413</v>
      </c>
      <c r="D9" s="118">
        <f t="shared" si="0"/>
        <v>7.6437232351584013E-3</v>
      </c>
      <c r="F9">
        <v>7</v>
      </c>
      <c r="G9" s="75" t="s">
        <v>34</v>
      </c>
      <c r="H9">
        <v>1453.2664411845326</v>
      </c>
      <c r="I9">
        <v>7082.7120757857783</v>
      </c>
      <c r="J9" s="129">
        <f t="shared" si="1"/>
        <v>3.8736500582871654</v>
      </c>
    </row>
    <row r="10" spans="1:10" x14ac:dyDescent="0.25">
      <c r="A10" s="75" t="s">
        <v>42</v>
      </c>
      <c r="B10">
        <v>10601.314777673975</v>
      </c>
      <c r="C10">
        <v>10628.317495279174</v>
      </c>
      <c r="D10" s="118">
        <f t="shared" si="0"/>
        <v>2.5471102567453086E-3</v>
      </c>
      <c r="F10">
        <v>8</v>
      </c>
      <c r="G10" s="75" t="s">
        <v>42</v>
      </c>
      <c r="H10">
        <v>1259.57243808471</v>
      </c>
      <c r="I10">
        <v>5101.2031460511053</v>
      </c>
      <c r="J10" s="129">
        <f t="shared" si="1"/>
        <v>3.0499482140208869</v>
      </c>
    </row>
    <row r="11" spans="1:10" x14ac:dyDescent="0.25">
      <c r="A11" s="75" t="s">
        <v>49</v>
      </c>
      <c r="B11">
        <v>10260.044943822453</v>
      </c>
      <c r="C11">
        <v>10623.484543749191</v>
      </c>
      <c r="D11" s="130">
        <f t="shared" si="0"/>
        <v>3.5422807786584222E-2</v>
      </c>
      <c r="F11">
        <v>9</v>
      </c>
      <c r="G11" s="75" t="s">
        <v>99</v>
      </c>
      <c r="H11">
        <v>1046.7736316238236</v>
      </c>
      <c r="I11">
        <v>5138.9385345482833</v>
      </c>
      <c r="J11" s="129">
        <f t="shared" si="1"/>
        <v>3.9093121753329099</v>
      </c>
    </row>
    <row r="12" spans="1:10" x14ac:dyDescent="0.25">
      <c r="A12" s="75" t="s">
        <v>34</v>
      </c>
      <c r="B12">
        <v>10257.113927922457</v>
      </c>
      <c r="C12">
        <v>10332.302333748385</v>
      </c>
      <c r="D12" s="118">
        <f t="shared" si="0"/>
        <v>7.3303666464350778E-3</v>
      </c>
      <c r="F12">
        <v>10</v>
      </c>
      <c r="G12" s="75" t="s">
        <v>48</v>
      </c>
      <c r="H12">
        <v>1035.670670366892</v>
      </c>
      <c r="I12">
        <v>4239.2285150102416</v>
      </c>
      <c r="J12" s="129">
        <f t="shared" si="1"/>
        <v>3.093220592515642</v>
      </c>
    </row>
    <row r="13" spans="1:10" x14ac:dyDescent="0.25">
      <c r="A13" s="75" t="s">
        <v>37</v>
      </c>
      <c r="B13">
        <v>9494.8432141476605</v>
      </c>
      <c r="C13">
        <v>9951.0086567452654</v>
      </c>
      <c r="D13" s="118">
        <f t="shared" si="0"/>
        <v>4.804349395868926E-2</v>
      </c>
      <c r="F13">
        <v>11</v>
      </c>
      <c r="G13" s="75" t="s">
        <v>44</v>
      </c>
      <c r="H13">
        <v>864.22338183867146</v>
      </c>
      <c r="I13">
        <v>4298.5062328009344</v>
      </c>
      <c r="J13" s="129">
        <f t="shared" si="1"/>
        <v>3.9738369999382366</v>
      </c>
    </row>
    <row r="14" spans="1:10" x14ac:dyDescent="0.25">
      <c r="A14" s="75" t="s">
        <v>53</v>
      </c>
      <c r="B14">
        <v>8666.5774302414411</v>
      </c>
      <c r="C14">
        <v>8763.03209209942</v>
      </c>
      <c r="D14" s="130">
        <f t="shared" si="0"/>
        <v>1.1129498655536935E-2</v>
      </c>
      <c r="F14">
        <v>12</v>
      </c>
      <c r="G14" s="75" t="s">
        <v>43</v>
      </c>
      <c r="H14">
        <v>700.860971665752</v>
      </c>
      <c r="I14">
        <v>6415.5688182480781</v>
      </c>
      <c r="J14" s="129">
        <f t="shared" si="1"/>
        <v>8.1538394597719588</v>
      </c>
    </row>
    <row r="15" spans="1:10" x14ac:dyDescent="0.25">
      <c r="A15" s="75" t="s">
        <v>61</v>
      </c>
      <c r="B15">
        <v>8403.2047234427355</v>
      </c>
      <c r="C15">
        <v>8423.3073700596779</v>
      </c>
      <c r="D15" s="130">
        <f t="shared" si="0"/>
        <v>2.3922595341347875E-3</v>
      </c>
      <c r="F15">
        <v>13</v>
      </c>
      <c r="G15" s="75" t="s">
        <v>40</v>
      </c>
      <c r="H15">
        <v>700.35437513384011</v>
      </c>
      <c r="I15">
        <v>5577.0460909817493</v>
      </c>
      <c r="J15" s="129">
        <f t="shared" si="1"/>
        <v>6.9631773413508791</v>
      </c>
    </row>
    <row r="16" spans="1:10" x14ac:dyDescent="0.25">
      <c r="A16" s="75" t="s">
        <v>60</v>
      </c>
      <c r="B16">
        <v>7628.9258846607845</v>
      </c>
      <c r="C16">
        <v>7681.3903835865385</v>
      </c>
      <c r="D16" s="118">
        <f t="shared" si="0"/>
        <v>6.877049235888181E-3</v>
      </c>
      <c r="F16">
        <v>14</v>
      </c>
      <c r="G16" s="75" t="s">
        <v>49</v>
      </c>
      <c r="H16">
        <v>655.26196755057799</v>
      </c>
      <c r="I16">
        <v>3489.5567824891223</v>
      </c>
      <c r="J16" s="129">
        <f t="shared" si="1"/>
        <v>4.3254376956034344</v>
      </c>
    </row>
    <row r="17" spans="1:10" x14ac:dyDescent="0.25">
      <c r="A17" s="75" t="s">
        <v>48</v>
      </c>
      <c r="B17">
        <v>7596.0166623327896</v>
      </c>
      <c r="C17">
        <v>7693.6044918516891</v>
      </c>
      <c r="D17" s="118">
        <f t="shared" si="0"/>
        <v>1.284723742153162E-2</v>
      </c>
      <c r="G17" s="75" t="s">
        <v>19</v>
      </c>
      <c r="H17">
        <v>654.64389534492375</v>
      </c>
      <c r="I17">
        <v>4393.4237996618194</v>
      </c>
      <c r="J17" s="129">
        <f t="shared" si="1"/>
        <v>5.7111659192162465</v>
      </c>
    </row>
    <row r="18" spans="1:10" x14ac:dyDescent="0.25">
      <c r="A18" s="75" t="s">
        <v>17</v>
      </c>
      <c r="B18">
        <v>6430.788024888875</v>
      </c>
      <c r="C18">
        <v>6597.0095154629425</v>
      </c>
      <c r="D18" s="130">
        <f t="shared" si="0"/>
        <v>2.5847763902455769E-2</v>
      </c>
      <c r="G18" s="75" t="s">
        <v>47</v>
      </c>
      <c r="H18">
        <v>639.9891084945333</v>
      </c>
      <c r="I18">
        <v>5956.6002310933864</v>
      </c>
      <c r="J18" s="129">
        <f t="shared" si="1"/>
        <v>8.3073462532906017</v>
      </c>
    </row>
    <row r="19" spans="1:10" x14ac:dyDescent="0.25">
      <c r="A19" s="75" t="s">
        <v>51</v>
      </c>
      <c r="B19">
        <v>5994.0021202153102</v>
      </c>
      <c r="C19">
        <v>6087.2546685606058</v>
      </c>
      <c r="D19" s="118">
        <f t="shared" si="0"/>
        <v>1.5557643536827075E-2</v>
      </c>
      <c r="G19" s="75" t="s">
        <v>46</v>
      </c>
      <c r="H19">
        <v>627.93834824106921</v>
      </c>
      <c r="I19">
        <v>4407.488740735359</v>
      </c>
      <c r="J19" s="129">
        <f t="shared" si="1"/>
        <v>6.0189832378947141</v>
      </c>
    </row>
    <row r="20" spans="1:10" x14ac:dyDescent="0.25">
      <c r="A20" s="75" t="s">
        <v>45</v>
      </c>
      <c r="B20">
        <v>5769.7220810032195</v>
      </c>
      <c r="C20">
        <v>5976.8011739150534</v>
      </c>
      <c r="D20" s="118">
        <f t="shared" si="0"/>
        <v>3.5890652964661977E-2</v>
      </c>
      <c r="G20" s="75" t="s">
        <v>32</v>
      </c>
      <c r="H20">
        <v>622.7272593713875</v>
      </c>
      <c r="I20">
        <v>4062.352824590504</v>
      </c>
      <c r="J20" s="129">
        <f t="shared" si="1"/>
        <v>5.5234864275754516</v>
      </c>
    </row>
    <row r="21" spans="1:10" x14ac:dyDescent="0.25">
      <c r="A21" s="75" t="s">
        <v>98</v>
      </c>
      <c r="B21">
        <v>5058.2012793201511</v>
      </c>
      <c r="C21">
        <v>5844.3168609563263</v>
      </c>
      <c r="D21" s="118">
        <f t="shared" si="0"/>
        <v>0.15541405693959123</v>
      </c>
      <c r="G21" s="75" t="s">
        <v>50</v>
      </c>
      <c r="H21">
        <v>546.14117311373798</v>
      </c>
      <c r="I21">
        <v>3388.646045328016</v>
      </c>
      <c r="J21" s="129">
        <f t="shared" si="1"/>
        <v>5.2047071565913701</v>
      </c>
    </row>
    <row r="22" spans="1:10" x14ac:dyDescent="0.25">
      <c r="A22" s="75" t="s">
        <v>16</v>
      </c>
      <c r="B22">
        <v>4732.9658043596664</v>
      </c>
      <c r="C22">
        <v>5008.2340631953157</v>
      </c>
      <c r="D22" s="118">
        <f t="shared" si="0"/>
        <v>5.8159781881815413E-2</v>
      </c>
      <c r="G22" s="75" t="s">
        <v>39</v>
      </c>
      <c r="H22">
        <v>541.5545357271003</v>
      </c>
      <c r="I22">
        <v>3567.2831257368393</v>
      </c>
      <c r="J22" s="129">
        <f t="shared" si="1"/>
        <v>5.5871170683619971</v>
      </c>
    </row>
    <row r="23" spans="1:10" x14ac:dyDescent="0.25">
      <c r="A23" s="75" t="s">
        <v>24</v>
      </c>
      <c r="B23">
        <v>4611.2560746257432</v>
      </c>
      <c r="C23">
        <v>4668.5094410592037</v>
      </c>
      <c r="D23" s="118">
        <f t="shared" si="0"/>
        <v>1.2416002387832543E-2</v>
      </c>
      <c r="G23" s="75" t="s">
        <v>37</v>
      </c>
      <c r="H23">
        <v>532.77705456936962</v>
      </c>
      <c r="I23">
        <v>5786.7716372764889</v>
      </c>
      <c r="J23" s="129">
        <f t="shared" si="1"/>
        <v>9.8615256374991453</v>
      </c>
    </row>
    <row r="24" spans="1:10" x14ac:dyDescent="0.25">
      <c r="A24" s="75" t="s">
        <v>20</v>
      </c>
      <c r="B24">
        <v>4489.705529392777</v>
      </c>
      <c r="C24">
        <v>5209.8941692371154</v>
      </c>
      <c r="D24" s="118">
        <f t="shared" si="0"/>
        <v>0.16040888096768841</v>
      </c>
      <c r="G24" s="75" t="s">
        <v>33</v>
      </c>
      <c r="H24">
        <v>499.77548669178123</v>
      </c>
      <c r="I24">
        <v>4309.3527934005015</v>
      </c>
      <c r="J24" s="129">
        <f t="shared" si="1"/>
        <v>7.6225773535350321</v>
      </c>
    </row>
    <row r="25" spans="1:10" x14ac:dyDescent="0.25">
      <c r="A25" s="75" t="s">
        <v>39</v>
      </c>
      <c r="B25">
        <v>4395.6392296530803</v>
      </c>
      <c r="C25">
        <v>4445.1577628281229</v>
      </c>
      <c r="D25" s="130">
        <f t="shared" si="0"/>
        <v>1.1265377022069855E-2</v>
      </c>
      <c r="G25" s="75" t="s">
        <v>51</v>
      </c>
      <c r="H25">
        <v>492.98827381497847</v>
      </c>
      <c r="I25">
        <v>15016.879391681641</v>
      </c>
      <c r="J25" s="129">
        <f t="shared" si="1"/>
        <v>29.460926130096084</v>
      </c>
    </row>
    <row r="26" spans="1:10" x14ac:dyDescent="0.25">
      <c r="A26" s="75" t="s">
        <v>27</v>
      </c>
      <c r="B26">
        <v>4252.9576809788641</v>
      </c>
      <c r="C26">
        <v>4355.8516402402647</v>
      </c>
      <c r="D26" s="130">
        <f t="shared" si="0"/>
        <v>2.4193506491162274E-2</v>
      </c>
      <c r="G26" s="75" t="s">
        <v>98</v>
      </c>
      <c r="H26">
        <v>452.13385179163487</v>
      </c>
      <c r="I26">
        <v>3316.5448777077331</v>
      </c>
      <c r="J26" s="129">
        <f t="shared" si="1"/>
        <v>6.3353164434946079</v>
      </c>
    </row>
    <row r="27" spans="1:10" x14ac:dyDescent="0.25">
      <c r="A27" s="75" t="s">
        <v>28</v>
      </c>
      <c r="B27">
        <v>4127.2117989417993</v>
      </c>
      <c r="C27">
        <v>4262.2570156378606</v>
      </c>
      <c r="D27" s="118">
        <f t="shared" si="0"/>
        <v>3.272068972343177E-2</v>
      </c>
      <c r="G27" s="75" t="s">
        <v>30</v>
      </c>
      <c r="H27">
        <v>346.35895066413605</v>
      </c>
      <c r="I27">
        <v>3768.2456843698442</v>
      </c>
      <c r="J27" s="129">
        <f t="shared" si="1"/>
        <v>9.8795966645132509</v>
      </c>
    </row>
    <row r="28" spans="1:10" x14ac:dyDescent="0.25">
      <c r="A28" s="75" t="s">
        <v>18</v>
      </c>
      <c r="B28">
        <v>4044.3076513043811</v>
      </c>
      <c r="C28">
        <v>4709.7807542828286</v>
      </c>
      <c r="D28" s="118">
        <f t="shared" si="0"/>
        <v>0.16454561827506306</v>
      </c>
      <c r="G28" s="75" t="s">
        <v>22</v>
      </c>
      <c r="H28">
        <v>337.79257710556215</v>
      </c>
      <c r="I28">
        <v>2646.7090449819425</v>
      </c>
      <c r="J28" s="129">
        <f t="shared" si="1"/>
        <v>6.835308483273244</v>
      </c>
    </row>
    <row r="29" spans="1:10" x14ac:dyDescent="0.25">
      <c r="A29" s="75" t="s">
        <v>23</v>
      </c>
      <c r="B29">
        <v>3808.0150208296664</v>
      </c>
      <c r="C29">
        <v>3998.1223962917325</v>
      </c>
      <c r="D29" s="118">
        <f t="shared" si="0"/>
        <v>4.992295839753455E-2</v>
      </c>
      <c r="G29" s="75" t="s">
        <v>23</v>
      </c>
      <c r="H29">
        <v>333.21017564256647</v>
      </c>
      <c r="I29">
        <v>4179.1467485989406</v>
      </c>
      <c r="J29" s="129">
        <f t="shared" si="1"/>
        <v>11.542074204486175</v>
      </c>
    </row>
    <row r="30" spans="1:10" x14ac:dyDescent="0.25">
      <c r="A30" s="75" t="s">
        <v>21</v>
      </c>
      <c r="B30">
        <v>3585.792142758919</v>
      </c>
      <c r="C30">
        <v>3694.0329904329724</v>
      </c>
      <c r="D30" s="130">
        <f t="shared" si="0"/>
        <v>3.0186035153385259E-2</v>
      </c>
      <c r="G30" s="75" t="s">
        <v>16</v>
      </c>
      <c r="H30">
        <v>323.54902363934758</v>
      </c>
      <c r="I30">
        <v>1580.1832168845131</v>
      </c>
      <c r="J30" s="129">
        <f t="shared" si="1"/>
        <v>3.8839066151715724</v>
      </c>
    </row>
    <row r="31" spans="1:10" x14ac:dyDescent="0.25">
      <c r="A31" s="75" t="s">
        <v>22</v>
      </c>
      <c r="B31">
        <v>3481.9909398559857</v>
      </c>
      <c r="C31">
        <v>3571.0476639906751</v>
      </c>
      <c r="D31" s="118">
        <f t="shared" si="0"/>
        <v>2.5576380201142262E-2</v>
      </c>
      <c r="G31" s="75" t="s">
        <v>24</v>
      </c>
      <c r="H31">
        <v>307.19790378838798</v>
      </c>
      <c r="I31">
        <v>2649.5456458892509</v>
      </c>
      <c r="J31" s="129">
        <f t="shared" si="1"/>
        <v>7.624881918837505</v>
      </c>
    </row>
    <row r="32" spans="1:10" x14ac:dyDescent="0.25">
      <c r="A32" s="75" t="s">
        <v>30</v>
      </c>
      <c r="B32">
        <v>2624.9895845083097</v>
      </c>
      <c r="C32">
        <v>2715.3045061598768</v>
      </c>
      <c r="D32" s="118">
        <f t="shared" si="0"/>
        <v>3.4405820954327392E-2</v>
      </c>
      <c r="G32" s="75" t="s">
        <v>20</v>
      </c>
      <c r="H32">
        <v>306.49012759758455</v>
      </c>
      <c r="I32">
        <v>2370.5276624718631</v>
      </c>
      <c r="J32" s="129">
        <f t="shared" si="1"/>
        <v>6.7344339964656834</v>
      </c>
    </row>
    <row r="33" spans="1:10" x14ac:dyDescent="0.25">
      <c r="A33" s="75" t="s">
        <v>99</v>
      </c>
      <c r="B33">
        <v>1975.8020576910938</v>
      </c>
      <c r="C33">
        <v>2508.9108439058259</v>
      </c>
      <c r="D33" s="130">
        <f t="shared" si="0"/>
        <v>0.2698189244917169</v>
      </c>
      <c r="G33" s="75" t="s">
        <v>29</v>
      </c>
      <c r="H33">
        <v>304.4223585657902</v>
      </c>
      <c r="I33">
        <v>2294.2573580010016</v>
      </c>
      <c r="J33" s="129">
        <f t="shared" si="1"/>
        <v>6.5364285619815226</v>
      </c>
    </row>
    <row r="34" spans="1:10" x14ac:dyDescent="0.25">
      <c r="A34" s="75" t="s">
        <v>31</v>
      </c>
      <c r="B34">
        <v>1115.0903523178808</v>
      </c>
      <c r="C34">
        <v>1115.0903523178808</v>
      </c>
      <c r="D34" s="118">
        <f t="shared" si="0"/>
        <v>0</v>
      </c>
      <c r="G34" s="75" t="s">
        <v>28</v>
      </c>
      <c r="H34">
        <v>301.24126466522614</v>
      </c>
      <c r="I34">
        <v>2337.5696897269149</v>
      </c>
      <c r="J34" s="129">
        <f t="shared" si="1"/>
        <v>6.7597924451840647</v>
      </c>
    </row>
    <row r="35" spans="1:10" x14ac:dyDescent="0.25">
      <c r="A35" s="75" t="s">
        <v>19</v>
      </c>
      <c r="B35">
        <v>0</v>
      </c>
      <c r="C35">
        <v>0</v>
      </c>
      <c r="D35" s="119">
        <v>0</v>
      </c>
      <c r="G35" s="75" t="s">
        <v>56</v>
      </c>
      <c r="H35">
        <v>300.65908542106854</v>
      </c>
      <c r="I35">
        <v>659.83848475701791</v>
      </c>
      <c r="J35" s="129">
        <f t="shared" si="1"/>
        <v>1.1946400982126451</v>
      </c>
    </row>
    <row r="36" spans="1:10" x14ac:dyDescent="0.25">
      <c r="A36" s="75" t="s">
        <v>97</v>
      </c>
      <c r="B36">
        <v>0</v>
      </c>
      <c r="C36">
        <v>0</v>
      </c>
      <c r="D36">
        <v>0</v>
      </c>
      <c r="G36" s="75" t="s">
        <v>25</v>
      </c>
      <c r="H36">
        <v>290.77263285163349</v>
      </c>
      <c r="I36">
        <v>2211.0182620048331</v>
      </c>
      <c r="J36" s="129">
        <f t="shared" si="1"/>
        <v>6.6039420915275873</v>
      </c>
    </row>
    <row r="37" spans="1:10" x14ac:dyDescent="0.25">
      <c r="A37" s="75" t="s">
        <v>25</v>
      </c>
      <c r="B37">
        <v>0</v>
      </c>
      <c r="C37">
        <v>0</v>
      </c>
      <c r="D37">
        <v>0</v>
      </c>
      <c r="G37" s="75" t="s">
        <v>52</v>
      </c>
      <c r="H37">
        <v>265.93512383038734</v>
      </c>
      <c r="I37">
        <v>3245.9165372484104</v>
      </c>
      <c r="J37" s="129">
        <f t="shared" si="1"/>
        <v>11.205670655669563</v>
      </c>
    </row>
    <row r="38" spans="1:10" x14ac:dyDescent="0.25">
      <c r="A38" s="75" t="s">
        <v>26</v>
      </c>
      <c r="B38">
        <v>0</v>
      </c>
      <c r="C38">
        <v>0</v>
      </c>
      <c r="D38" s="119">
        <v>0</v>
      </c>
      <c r="G38" s="75" t="s">
        <v>27</v>
      </c>
      <c r="H38">
        <v>265.81058915009902</v>
      </c>
      <c r="I38">
        <v>1923.8378679443092</v>
      </c>
      <c r="J38" s="129">
        <f t="shared" si="1"/>
        <v>6.2376268909962365</v>
      </c>
    </row>
    <row r="39" spans="1:10" x14ac:dyDescent="0.25">
      <c r="A39" s="75" t="s">
        <v>29</v>
      </c>
      <c r="B39">
        <v>0</v>
      </c>
      <c r="C39">
        <v>0</v>
      </c>
      <c r="D39" s="119">
        <v>0</v>
      </c>
      <c r="G39" s="75" t="s">
        <v>58</v>
      </c>
      <c r="H39">
        <v>261.70430619554793</v>
      </c>
      <c r="I39">
        <v>853.62345201839037</v>
      </c>
      <c r="J39" s="129">
        <f t="shared" si="1"/>
        <v>2.2617860379437351</v>
      </c>
    </row>
    <row r="40" spans="1:10" x14ac:dyDescent="0.25">
      <c r="A40" s="75" t="s">
        <v>35</v>
      </c>
      <c r="B40">
        <v>0</v>
      </c>
      <c r="C40">
        <v>0</v>
      </c>
      <c r="D40">
        <v>0</v>
      </c>
      <c r="G40" s="75" t="s">
        <v>36</v>
      </c>
      <c r="H40">
        <v>256.17791494344419</v>
      </c>
      <c r="I40">
        <v>1906.7196998670136</v>
      </c>
      <c r="J40" s="129">
        <f t="shared" si="1"/>
        <v>6.4429511235890713</v>
      </c>
    </row>
    <row r="41" spans="1:10" x14ac:dyDescent="0.25">
      <c r="A41" s="75" t="s">
        <v>36</v>
      </c>
      <c r="B41">
        <v>0</v>
      </c>
      <c r="C41">
        <v>0</v>
      </c>
      <c r="D41" s="119">
        <v>0</v>
      </c>
      <c r="G41" s="75" t="s">
        <v>17</v>
      </c>
      <c r="H41">
        <v>244.62986374530485</v>
      </c>
      <c r="I41">
        <v>1799.2382118981607</v>
      </c>
      <c r="J41" s="129">
        <f t="shared" si="1"/>
        <v>6.3549409886089316</v>
      </c>
    </row>
    <row r="42" spans="1:10" x14ac:dyDescent="0.25">
      <c r="A42" s="75" t="s">
        <v>40</v>
      </c>
      <c r="B42">
        <v>0</v>
      </c>
      <c r="C42">
        <v>0</v>
      </c>
      <c r="D42">
        <v>0</v>
      </c>
      <c r="G42" s="75" t="s">
        <v>97</v>
      </c>
      <c r="H42">
        <v>242.32688117821363</v>
      </c>
      <c r="I42">
        <v>2158.9122403784922</v>
      </c>
      <c r="J42" s="129">
        <f t="shared" si="1"/>
        <v>7.909091017396336</v>
      </c>
    </row>
    <row r="43" spans="1:10" x14ac:dyDescent="0.25">
      <c r="A43" s="75" t="s">
        <v>43</v>
      </c>
      <c r="B43">
        <v>0</v>
      </c>
      <c r="C43">
        <v>0</v>
      </c>
      <c r="D43" s="119">
        <v>0</v>
      </c>
      <c r="G43" s="75" t="s">
        <v>15</v>
      </c>
      <c r="H43">
        <v>223.5106849193657</v>
      </c>
      <c r="I43">
        <v>1790.8689113168346</v>
      </c>
      <c r="J43" s="129">
        <f t="shared" si="1"/>
        <v>7.0124532389264207</v>
      </c>
    </row>
    <row r="44" spans="1:10" x14ac:dyDescent="0.25">
      <c r="A44" s="75" t="s">
        <v>46</v>
      </c>
      <c r="B44">
        <v>0</v>
      </c>
      <c r="C44">
        <v>0</v>
      </c>
      <c r="D44" s="119">
        <v>0</v>
      </c>
      <c r="G44" s="75" t="s">
        <v>31</v>
      </c>
      <c r="H44">
        <v>213.14911683968091</v>
      </c>
      <c r="I44">
        <v>2607.2655521914749</v>
      </c>
      <c r="J44" s="129">
        <f t="shared" si="1"/>
        <v>11.232119892631397</v>
      </c>
    </row>
    <row r="45" spans="1:10" x14ac:dyDescent="0.25">
      <c r="A45" s="75" t="s">
        <v>47</v>
      </c>
      <c r="B45">
        <v>0</v>
      </c>
      <c r="C45">
        <v>0</v>
      </c>
      <c r="D45" s="119">
        <v>0</v>
      </c>
      <c r="G45" s="75" t="s">
        <v>21</v>
      </c>
      <c r="H45">
        <v>212.30662762858282</v>
      </c>
      <c r="I45">
        <v>1858.4414162828873</v>
      </c>
      <c r="J45" s="129">
        <f t="shared" si="1"/>
        <v>7.7535723073804101</v>
      </c>
    </row>
    <row r="46" spans="1:10" x14ac:dyDescent="0.25">
      <c r="A46" s="75" t="s">
        <v>50</v>
      </c>
      <c r="B46">
        <v>0</v>
      </c>
      <c r="C46">
        <v>0</v>
      </c>
      <c r="D46">
        <v>0</v>
      </c>
      <c r="G46" s="75" t="s">
        <v>26</v>
      </c>
      <c r="H46">
        <v>199.00528725573307</v>
      </c>
      <c r="I46">
        <v>1929.5867533454464</v>
      </c>
      <c r="J46" s="129">
        <f t="shared" si="1"/>
        <v>8.6961582275239664</v>
      </c>
    </row>
    <row r="47" spans="1:10" x14ac:dyDescent="0.25">
      <c r="A47" s="75" t="s">
        <v>52</v>
      </c>
      <c r="B47">
        <v>0</v>
      </c>
      <c r="C47">
        <v>0</v>
      </c>
      <c r="D47" s="119">
        <v>0</v>
      </c>
      <c r="G47" s="75" t="s">
        <v>18</v>
      </c>
      <c r="H47">
        <v>178.37994035613437</v>
      </c>
      <c r="I47">
        <v>1485.9414095659126</v>
      </c>
      <c r="J47" s="129">
        <f t="shared" si="1"/>
        <v>7.3302046552949873</v>
      </c>
    </row>
    <row r="48" spans="1:10" x14ac:dyDescent="0.25">
      <c r="A48" s="75" t="s">
        <v>56</v>
      </c>
      <c r="B48">
        <v>0</v>
      </c>
      <c r="C48">
        <v>0</v>
      </c>
      <c r="D48">
        <v>0</v>
      </c>
      <c r="G48" s="75" t="s">
        <v>35</v>
      </c>
      <c r="H48">
        <v>88.797815262104933</v>
      </c>
      <c r="I48">
        <v>1279.6961438239166</v>
      </c>
      <c r="J48" s="129">
        <f t="shared" si="1"/>
        <v>13.411347171623889</v>
      </c>
    </row>
    <row r="49" spans="1:10" x14ac:dyDescent="0.25">
      <c r="A49" s="75" t="s">
        <v>58</v>
      </c>
      <c r="B49">
        <v>0</v>
      </c>
      <c r="C49">
        <v>0</v>
      </c>
      <c r="D49">
        <v>0</v>
      </c>
      <c r="G49" s="75" t="s">
        <v>45</v>
      </c>
      <c r="H49">
        <v>80.829689197563368</v>
      </c>
      <c r="I49">
        <v>6532.0193487495353</v>
      </c>
      <c r="J49" s="129">
        <f t="shared" si="1"/>
        <v>79.812129968531963</v>
      </c>
    </row>
    <row r="50" spans="1:10" x14ac:dyDescent="0.25">
      <c r="A50" s="75" t="s">
        <v>59</v>
      </c>
      <c r="B50">
        <v>0</v>
      </c>
      <c r="C50">
        <v>0</v>
      </c>
      <c r="D50" s="119">
        <v>0</v>
      </c>
      <c r="G50" s="75" t="s">
        <v>54</v>
      </c>
      <c r="H50">
        <v>0</v>
      </c>
      <c r="I50">
        <v>0</v>
      </c>
      <c r="J50" s="129">
        <v>0</v>
      </c>
    </row>
    <row r="51" spans="1:10" x14ac:dyDescent="0.25">
      <c r="A51" s="75" t="s">
        <v>15</v>
      </c>
      <c r="D51" s="6"/>
      <c r="G51" s="75" t="s">
        <v>55</v>
      </c>
      <c r="H51">
        <v>0</v>
      </c>
      <c r="I51">
        <v>0</v>
      </c>
      <c r="J51" s="129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K92"/>
  <sheetViews>
    <sheetView topLeftCell="X1" zoomScale="90" zoomScaleNormal="90" workbookViewId="0">
      <selection activeCell="X7" sqref="X7"/>
    </sheetView>
  </sheetViews>
  <sheetFormatPr defaultColWidth="9.1796875" defaultRowHeight="12.5" x14ac:dyDescent="0.25"/>
  <cols>
    <col min="1" max="1" width="2.453125" style="8" customWidth="1"/>
    <col min="2" max="2" width="7.54296875" style="8" customWidth="1"/>
    <col min="3" max="3" width="41.81640625" style="8" customWidth="1"/>
    <col min="4" max="4" width="16.36328125" style="8" customWidth="1"/>
    <col min="5" max="5" width="10.7265625" style="8" customWidth="1"/>
    <col min="6" max="6" width="23" style="8" customWidth="1"/>
    <col min="7" max="7" width="8.7265625" style="8" customWidth="1"/>
    <col min="8" max="8" width="15.453125" style="8" customWidth="1"/>
    <col min="9" max="9" width="10.7265625" style="8" customWidth="1"/>
    <col min="10" max="10" width="12.453125" style="8" customWidth="1"/>
    <col min="11" max="11" width="11.7265625" style="8" customWidth="1"/>
    <col min="12" max="12" width="11.81640625" style="8" customWidth="1"/>
    <col min="13" max="13" width="21.54296875" style="8" customWidth="1"/>
    <col min="14" max="14" width="22.7265625" style="8" customWidth="1"/>
    <col min="15" max="15" width="22.1796875" style="8" customWidth="1"/>
    <col min="16" max="16" width="12.7265625" style="8" customWidth="1"/>
    <col min="17" max="17" width="11.1796875" style="8" customWidth="1"/>
    <col min="18" max="18" width="9.1796875" style="8"/>
    <col min="19" max="19" width="13.7265625" style="8" customWidth="1"/>
    <col min="20" max="21" width="9.1796875" style="8"/>
    <col min="22" max="22" width="21.6328125" style="8" customWidth="1"/>
    <col min="23" max="23" width="20.453125" style="8" bestFit="1" customWidth="1"/>
    <col min="24" max="24" width="15.36328125" style="8" customWidth="1"/>
    <col min="25" max="25" width="14.90625" style="85" customWidth="1"/>
    <col min="26" max="26" width="13.7265625" style="8" customWidth="1"/>
    <col min="27" max="27" width="13.453125" style="8" customWidth="1"/>
    <col min="28" max="28" width="19.1796875" style="8" customWidth="1"/>
    <col min="29" max="29" width="13.1796875" style="8" customWidth="1"/>
    <col min="30" max="30" width="16.90625" style="8" customWidth="1"/>
    <col min="31" max="31" width="9.1796875" style="8"/>
    <col min="32" max="32" width="17.90625" style="8" customWidth="1"/>
    <col min="33" max="33" width="15" style="8" customWidth="1"/>
    <col min="34" max="34" width="22.1796875" style="8" customWidth="1"/>
    <col min="35" max="35" width="15.81640625" style="8" customWidth="1"/>
    <col min="36" max="36" width="15.36328125" style="8" customWidth="1"/>
    <col min="37" max="37" width="12.81640625" style="8" customWidth="1"/>
    <col min="38" max="16384" width="9.1796875" style="8"/>
  </cols>
  <sheetData>
    <row r="2" spans="2:37" ht="13" x14ac:dyDescent="0.25">
      <c r="B2" s="131" t="s">
        <v>94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</row>
    <row r="3" spans="2:37" ht="13" x14ac:dyDescent="0.25">
      <c r="B3" s="131" t="s">
        <v>0</v>
      </c>
      <c r="C3" s="131" t="s">
        <v>1</v>
      </c>
      <c r="D3" s="138" t="s">
        <v>2</v>
      </c>
      <c r="E3" s="153"/>
      <c r="F3" s="138" t="s">
        <v>3</v>
      </c>
      <c r="G3" s="153"/>
      <c r="H3" s="131" t="s">
        <v>4</v>
      </c>
      <c r="I3" s="154"/>
      <c r="J3" s="154"/>
      <c r="K3" s="154"/>
      <c r="L3" s="154"/>
      <c r="M3" s="131" t="s">
        <v>5</v>
      </c>
      <c r="N3" s="154"/>
      <c r="O3" s="154"/>
      <c r="P3" s="154"/>
      <c r="Q3" s="154"/>
      <c r="V3" s="139" t="s">
        <v>0</v>
      </c>
      <c r="W3" s="139" t="s">
        <v>1</v>
      </c>
      <c r="X3" s="142" t="s">
        <v>2</v>
      </c>
      <c r="Y3" s="143"/>
      <c r="Z3" s="142" t="s">
        <v>3</v>
      </c>
      <c r="AA3" s="143"/>
      <c r="AB3" s="150" t="s">
        <v>4</v>
      </c>
      <c r="AC3" s="151"/>
      <c r="AD3" s="151"/>
      <c r="AE3" s="151"/>
      <c r="AF3" s="152"/>
      <c r="AG3" s="150" t="s">
        <v>5</v>
      </c>
      <c r="AH3" s="151"/>
      <c r="AI3" s="151"/>
      <c r="AJ3" s="151"/>
      <c r="AK3" s="152"/>
    </row>
    <row r="4" spans="2:37" ht="48.75" customHeight="1" x14ac:dyDescent="0.25">
      <c r="B4" s="131"/>
      <c r="C4" s="131"/>
      <c r="D4" s="138" t="s">
        <v>6</v>
      </c>
      <c r="E4" s="138" t="s">
        <v>7</v>
      </c>
      <c r="F4" s="138" t="s">
        <v>8</v>
      </c>
      <c r="G4" s="138" t="s">
        <v>9</v>
      </c>
      <c r="H4" s="138" t="s">
        <v>10</v>
      </c>
      <c r="I4" s="138" t="s">
        <v>11</v>
      </c>
      <c r="J4" s="154"/>
      <c r="K4" s="155" t="s">
        <v>12</v>
      </c>
      <c r="L4" s="156"/>
      <c r="M4" s="138" t="s">
        <v>10</v>
      </c>
      <c r="N4" s="138" t="s">
        <v>13</v>
      </c>
      <c r="O4" s="153"/>
      <c r="P4" s="155" t="s">
        <v>12</v>
      </c>
      <c r="Q4" s="156"/>
      <c r="V4" s="140"/>
      <c r="W4" s="140"/>
      <c r="X4" s="148" t="s">
        <v>6</v>
      </c>
      <c r="Y4" s="148" t="s">
        <v>7</v>
      </c>
      <c r="Z4" s="148" t="s">
        <v>8</v>
      </c>
      <c r="AA4" s="148" t="s">
        <v>9</v>
      </c>
      <c r="AB4" s="148" t="s">
        <v>10</v>
      </c>
      <c r="AC4" s="142" t="s">
        <v>11</v>
      </c>
      <c r="AD4" s="143"/>
      <c r="AE4" s="144" t="s">
        <v>12</v>
      </c>
      <c r="AF4" s="145"/>
      <c r="AG4" s="148" t="s">
        <v>10</v>
      </c>
      <c r="AH4" s="142" t="s">
        <v>13</v>
      </c>
      <c r="AI4" s="143"/>
      <c r="AJ4" s="144" t="s">
        <v>12</v>
      </c>
      <c r="AK4" s="145"/>
    </row>
    <row r="5" spans="2:37" ht="18" customHeight="1" x14ac:dyDescent="0.25">
      <c r="B5" s="131"/>
      <c r="C5" s="131"/>
      <c r="D5" s="138"/>
      <c r="E5" s="138"/>
      <c r="F5" s="138"/>
      <c r="G5" s="138"/>
      <c r="H5" s="138"/>
      <c r="I5" s="13" t="s">
        <v>14</v>
      </c>
      <c r="J5" s="13" t="s">
        <v>3</v>
      </c>
      <c r="K5" s="1" t="s">
        <v>14</v>
      </c>
      <c r="L5" s="1" t="s">
        <v>3</v>
      </c>
      <c r="M5" s="138"/>
      <c r="N5" s="13" t="s">
        <v>14</v>
      </c>
      <c r="O5" s="13" t="s">
        <v>3</v>
      </c>
      <c r="P5" s="2" t="s">
        <v>14</v>
      </c>
      <c r="Q5" s="2" t="s">
        <v>3</v>
      </c>
      <c r="V5" s="140"/>
      <c r="W5" s="140"/>
      <c r="X5" s="149"/>
      <c r="Y5" s="149"/>
      <c r="Z5" s="149"/>
      <c r="AA5" s="149"/>
      <c r="AB5" s="149"/>
      <c r="AC5" s="69" t="s">
        <v>14</v>
      </c>
      <c r="AD5" s="69" t="s">
        <v>3</v>
      </c>
      <c r="AE5" s="1" t="s">
        <v>14</v>
      </c>
      <c r="AF5" s="1" t="s">
        <v>3</v>
      </c>
      <c r="AG5" s="149"/>
      <c r="AH5" s="69" t="s">
        <v>14</v>
      </c>
      <c r="AI5" s="69" t="s">
        <v>3</v>
      </c>
      <c r="AJ5" s="2" t="s">
        <v>14</v>
      </c>
      <c r="AK5" s="2" t="s">
        <v>3</v>
      </c>
    </row>
    <row r="6" spans="2:37" ht="13" x14ac:dyDescent="0.25">
      <c r="B6" s="131"/>
      <c r="C6" s="131"/>
      <c r="D6" s="13">
        <v>1</v>
      </c>
      <c r="E6" s="13">
        <v>2</v>
      </c>
      <c r="F6" s="13">
        <v>3</v>
      </c>
      <c r="G6" s="13">
        <v>4</v>
      </c>
      <c r="H6" s="13">
        <v>5</v>
      </c>
      <c r="I6" s="13">
        <v>6</v>
      </c>
      <c r="J6" s="13">
        <v>7</v>
      </c>
      <c r="K6" s="2">
        <v>8</v>
      </c>
      <c r="L6" s="2">
        <v>9</v>
      </c>
      <c r="M6" s="13">
        <v>10</v>
      </c>
      <c r="N6" s="13">
        <v>11</v>
      </c>
      <c r="O6" s="13">
        <v>12</v>
      </c>
      <c r="P6" s="2">
        <v>13</v>
      </c>
      <c r="Q6" s="2">
        <v>14</v>
      </c>
      <c r="V6" s="141"/>
      <c r="W6" s="141"/>
      <c r="X6" s="69">
        <v>1</v>
      </c>
      <c r="Y6" s="83">
        <v>2</v>
      </c>
      <c r="Z6" s="69">
        <v>3</v>
      </c>
      <c r="AA6" s="69">
        <v>4</v>
      </c>
      <c r="AB6" s="69">
        <v>5</v>
      </c>
      <c r="AC6" s="69">
        <v>6</v>
      </c>
      <c r="AD6" s="69">
        <v>7</v>
      </c>
      <c r="AE6" s="2">
        <v>8</v>
      </c>
      <c r="AF6" s="2">
        <v>9</v>
      </c>
      <c r="AG6" s="69">
        <v>10</v>
      </c>
      <c r="AH6" s="69">
        <v>11</v>
      </c>
      <c r="AI6" s="69">
        <v>12</v>
      </c>
      <c r="AJ6" s="2">
        <v>13</v>
      </c>
      <c r="AK6" s="2">
        <v>14</v>
      </c>
    </row>
    <row r="7" spans="2:37" x14ac:dyDescent="0.25">
      <c r="B7" s="3">
        <v>1</v>
      </c>
      <c r="C7" s="4" t="s">
        <v>15</v>
      </c>
      <c r="D7" s="20">
        <v>663</v>
      </c>
      <c r="E7" s="20">
        <v>199</v>
      </c>
      <c r="F7" s="20">
        <v>3059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5722168</v>
      </c>
      <c r="N7" s="20">
        <v>9356089</v>
      </c>
      <c r="O7" s="20">
        <v>3250179</v>
      </c>
      <c r="P7" s="20">
        <v>22057.394805259999</v>
      </c>
      <c r="Q7" s="20">
        <v>3247.7893250499997</v>
      </c>
      <c r="V7" s="3">
        <v>2018</v>
      </c>
      <c r="W7" s="3" t="s">
        <v>41</v>
      </c>
      <c r="X7" s="86">
        <v>5874</v>
      </c>
      <c r="Y7" s="86">
        <v>6764</v>
      </c>
      <c r="Z7" s="86">
        <v>408770</v>
      </c>
      <c r="AA7" s="86">
        <v>0</v>
      </c>
      <c r="AB7" s="86">
        <v>10794694</v>
      </c>
      <c r="AC7" s="86">
        <v>173027</v>
      </c>
      <c r="AD7" s="86">
        <v>36781856</v>
      </c>
      <c r="AE7" s="86">
        <v>932.99281070000006</v>
      </c>
      <c r="AF7" s="86">
        <v>122059.993801</v>
      </c>
      <c r="AG7" s="86">
        <v>24537320</v>
      </c>
      <c r="AH7" s="20">
        <v>33090783</v>
      </c>
      <c r="AI7" s="20">
        <v>39690646</v>
      </c>
      <c r="AJ7" s="20">
        <v>171070.21476377003</v>
      </c>
      <c r="AK7" s="20">
        <v>56155.270790000002</v>
      </c>
    </row>
    <row r="8" spans="2:37" x14ac:dyDescent="0.25">
      <c r="B8" s="3">
        <v>2</v>
      </c>
      <c r="C8" s="4" t="s">
        <v>16</v>
      </c>
      <c r="D8" s="20">
        <v>3023</v>
      </c>
      <c r="E8" s="20">
        <v>774</v>
      </c>
      <c r="F8" s="20">
        <v>13777</v>
      </c>
      <c r="G8" s="20">
        <v>0</v>
      </c>
      <c r="H8" s="20">
        <v>301979</v>
      </c>
      <c r="I8" s="20">
        <v>11790</v>
      </c>
      <c r="J8" s="20">
        <v>594667</v>
      </c>
      <c r="K8" s="20">
        <v>56.52457914</v>
      </c>
      <c r="L8" s="20">
        <v>1438.7442320600003</v>
      </c>
      <c r="M8" s="20">
        <v>28604273</v>
      </c>
      <c r="N8" s="20">
        <v>9745000</v>
      </c>
      <c r="O8" s="20">
        <v>6948815</v>
      </c>
      <c r="P8" s="20">
        <v>33779.454582999999</v>
      </c>
      <c r="Q8" s="20">
        <v>8832.7422572300002</v>
      </c>
      <c r="V8" s="85">
        <v>2019</v>
      </c>
      <c r="W8" s="3" t="s">
        <v>41</v>
      </c>
      <c r="X8" s="86">
        <v>6069</v>
      </c>
      <c r="Y8" s="86">
        <v>7193</v>
      </c>
      <c r="Z8" s="86">
        <v>531547</v>
      </c>
      <c r="AA8" s="86">
        <v>0</v>
      </c>
      <c r="AB8" s="86">
        <v>12574139</v>
      </c>
      <c r="AC8" s="86">
        <v>180818</v>
      </c>
      <c r="AD8" s="86">
        <v>44680208</v>
      </c>
      <c r="AE8" s="86">
        <v>1035.074507</v>
      </c>
      <c r="AF8" s="86">
        <v>161032.84456200001</v>
      </c>
      <c r="AG8" s="86">
        <v>27425468</v>
      </c>
      <c r="AH8" s="20">
        <v>37099927</v>
      </c>
      <c r="AI8" s="20">
        <v>48489873</v>
      </c>
      <c r="AJ8" s="20">
        <v>191832.45587000001</v>
      </c>
      <c r="AK8" s="20">
        <v>71518.773362000007</v>
      </c>
    </row>
    <row r="9" spans="2:37" x14ac:dyDescent="0.25">
      <c r="B9" s="3">
        <v>3</v>
      </c>
      <c r="C9" s="4" t="s">
        <v>17</v>
      </c>
      <c r="D9" s="20">
        <v>9126</v>
      </c>
      <c r="E9" s="20">
        <v>3980</v>
      </c>
      <c r="F9" s="20">
        <v>79813</v>
      </c>
      <c r="G9" s="20">
        <v>0</v>
      </c>
      <c r="H9" s="20">
        <v>305936</v>
      </c>
      <c r="I9" s="20">
        <v>19455</v>
      </c>
      <c r="J9" s="20">
        <v>789597</v>
      </c>
      <c r="K9" s="20">
        <v>85.370014999999995</v>
      </c>
      <c r="L9" s="20">
        <v>1722.8972550000001</v>
      </c>
      <c r="M9" s="20">
        <v>48279337</v>
      </c>
      <c r="N9" s="20">
        <v>30539459</v>
      </c>
      <c r="O9" s="20">
        <v>16472373</v>
      </c>
      <c r="P9" s="20">
        <v>119082.92777900001</v>
      </c>
      <c r="Q9" s="20">
        <v>20235.210329000001</v>
      </c>
      <c r="V9" s="85"/>
      <c r="W9" s="85"/>
      <c r="X9" s="89"/>
      <c r="Y9" s="89" t="s">
        <v>219</v>
      </c>
      <c r="Z9" s="89">
        <f>(Z8-Z7)/Z7</f>
        <v>0.30035716906818016</v>
      </c>
      <c r="AA9" s="89"/>
      <c r="AB9" s="89"/>
      <c r="AC9" s="89"/>
      <c r="AD9" s="87">
        <f>(AD8-AD7)/AD7</f>
        <v>0.2147350041281223</v>
      </c>
      <c r="AE9" s="89"/>
      <c r="AF9" s="87">
        <f>(AF8-AF7)/AF7</f>
        <v>0.31929258348594736</v>
      </c>
      <c r="AG9" s="89"/>
      <c r="AH9" s="91"/>
      <c r="AI9" s="84">
        <f>(AI8-AI7)/AI7</f>
        <v>0.22169523267522528</v>
      </c>
      <c r="AJ9" s="91"/>
      <c r="AK9" s="84">
        <f>(AK8-AK7)/AK7</f>
        <v>0.27358968011130846</v>
      </c>
    </row>
    <row r="10" spans="2:37" x14ac:dyDescent="0.25">
      <c r="B10" s="3">
        <v>4</v>
      </c>
      <c r="C10" s="4" t="s">
        <v>18</v>
      </c>
      <c r="D10" s="20">
        <v>2643</v>
      </c>
      <c r="E10" s="20">
        <v>3511</v>
      </c>
      <c r="F10" s="20">
        <v>57313</v>
      </c>
      <c r="G10" s="20">
        <v>0</v>
      </c>
      <c r="H10" s="20">
        <v>183907</v>
      </c>
      <c r="I10" s="20">
        <v>21369</v>
      </c>
      <c r="J10" s="20">
        <v>353591</v>
      </c>
      <c r="K10" s="20">
        <v>119.72864446999999</v>
      </c>
      <c r="L10" s="20">
        <v>870.56844323999997</v>
      </c>
      <c r="M10" s="20">
        <v>36241516</v>
      </c>
      <c r="N10" s="20">
        <v>18760046</v>
      </c>
      <c r="O10" s="20">
        <v>10598907</v>
      </c>
      <c r="P10" s="20">
        <v>69156.546097279992</v>
      </c>
      <c r="Q10" s="20">
        <v>10826.374891129999</v>
      </c>
      <c r="V10" s="85"/>
      <c r="W10" s="85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91"/>
      <c r="AI10" s="91"/>
      <c r="AJ10" s="91"/>
      <c r="AK10" s="91"/>
    </row>
    <row r="11" spans="2:37" s="14" customFormat="1" x14ac:dyDescent="0.25">
      <c r="B11" s="3">
        <v>5</v>
      </c>
      <c r="C11" s="7" t="s">
        <v>19</v>
      </c>
      <c r="D11" s="20">
        <v>1306</v>
      </c>
      <c r="E11" s="20">
        <v>554</v>
      </c>
      <c r="F11" s="20">
        <v>2350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5468285</v>
      </c>
      <c r="N11" s="20">
        <v>7375325</v>
      </c>
      <c r="O11" s="20">
        <v>4942538</v>
      </c>
      <c r="P11" s="20">
        <v>26967.141295099998</v>
      </c>
      <c r="Q11" s="20">
        <v>5141.3130000800002</v>
      </c>
      <c r="S11" s="15"/>
      <c r="V11" s="88"/>
      <c r="W11" s="88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2"/>
      <c r="AI11" s="92"/>
      <c r="AJ11" s="92"/>
      <c r="AK11" s="92"/>
    </row>
    <row r="12" spans="2:37" x14ac:dyDescent="0.25">
      <c r="B12" s="3">
        <v>6</v>
      </c>
      <c r="C12" s="4" t="s">
        <v>20</v>
      </c>
      <c r="D12" s="20">
        <v>4770</v>
      </c>
      <c r="E12" s="20">
        <v>4085</v>
      </c>
      <c r="F12" s="20">
        <v>21764</v>
      </c>
      <c r="G12" s="20">
        <v>0</v>
      </c>
      <c r="H12" s="20">
        <v>371193</v>
      </c>
      <c r="I12" s="20">
        <v>46493</v>
      </c>
      <c r="J12" s="20">
        <v>649256</v>
      </c>
      <c r="K12" s="20">
        <v>248.13658962</v>
      </c>
      <c r="L12" s="20">
        <v>1348.38425001</v>
      </c>
      <c r="M12" s="20">
        <v>28881276</v>
      </c>
      <c r="N12" s="20">
        <v>22444834</v>
      </c>
      <c r="O12" s="20">
        <v>12707196</v>
      </c>
      <c r="P12" s="20">
        <v>97219.765003389999</v>
      </c>
      <c r="Q12" s="20">
        <v>16514.041194770001</v>
      </c>
      <c r="V12" s="3">
        <v>2018</v>
      </c>
      <c r="W12" s="3" t="s">
        <v>33</v>
      </c>
      <c r="X12" s="86">
        <v>26343</v>
      </c>
      <c r="Y12" s="86">
        <v>32949</v>
      </c>
      <c r="Z12" s="86">
        <v>613877</v>
      </c>
      <c r="AA12" s="86">
        <v>0</v>
      </c>
      <c r="AB12" s="86">
        <v>6357785</v>
      </c>
      <c r="AC12" s="86">
        <v>129941</v>
      </c>
      <c r="AD12" s="86">
        <v>21245813</v>
      </c>
      <c r="AE12" s="86">
        <v>511.29023599999999</v>
      </c>
      <c r="AF12" s="86">
        <v>75460.646885180002</v>
      </c>
      <c r="AG12" s="86">
        <v>279796198</v>
      </c>
      <c r="AH12" s="20">
        <v>362428635</v>
      </c>
      <c r="AI12" s="20">
        <v>94602321</v>
      </c>
      <c r="AJ12" s="20">
        <v>1065905.2464041798</v>
      </c>
      <c r="AK12" s="20">
        <v>139835.28102996</v>
      </c>
    </row>
    <row r="13" spans="2:37" x14ac:dyDescent="0.25">
      <c r="B13" s="3">
        <v>7</v>
      </c>
      <c r="C13" s="4" t="s">
        <v>21</v>
      </c>
      <c r="D13" s="20">
        <v>2834</v>
      </c>
      <c r="E13" s="20">
        <v>952</v>
      </c>
      <c r="F13" s="20">
        <v>3388</v>
      </c>
      <c r="G13" s="20">
        <v>0</v>
      </c>
      <c r="H13" s="20">
        <v>92570</v>
      </c>
      <c r="I13" s="20">
        <v>2254</v>
      </c>
      <c r="J13" s="20">
        <v>172607</v>
      </c>
      <c r="K13" s="20">
        <v>10.280228359999999</v>
      </c>
      <c r="L13" s="20">
        <v>370.54415143</v>
      </c>
      <c r="M13" s="20">
        <v>20859693</v>
      </c>
      <c r="N13" s="20">
        <v>11497274</v>
      </c>
      <c r="O13" s="20">
        <v>6248048</v>
      </c>
      <c r="P13" s="20">
        <v>48144.239034999999</v>
      </c>
      <c r="Q13" s="20">
        <v>7673.10592696</v>
      </c>
      <c r="V13" s="3">
        <v>19</v>
      </c>
      <c r="W13" s="3" t="s">
        <v>33</v>
      </c>
      <c r="X13" s="86">
        <v>25583</v>
      </c>
      <c r="Y13" s="86">
        <v>32885</v>
      </c>
      <c r="Z13" s="86">
        <v>580765</v>
      </c>
      <c r="AA13" s="86">
        <v>0</v>
      </c>
      <c r="AB13" s="86">
        <v>8545759</v>
      </c>
      <c r="AC13" s="86">
        <v>154499</v>
      </c>
      <c r="AD13" s="86">
        <v>26511681</v>
      </c>
      <c r="AE13" s="86">
        <v>595.23168399999997</v>
      </c>
      <c r="AF13" s="86">
        <v>94792.482470380026</v>
      </c>
      <c r="AG13" s="86">
        <v>297073038</v>
      </c>
      <c r="AH13" s="20">
        <v>382742667</v>
      </c>
      <c r="AI13" s="20">
        <v>118453038</v>
      </c>
      <c r="AJ13" s="20">
        <v>1100651.2958477901</v>
      </c>
      <c r="AK13" s="20">
        <v>164191.48264698999</v>
      </c>
    </row>
    <row r="14" spans="2:37" x14ac:dyDescent="0.25">
      <c r="B14" s="3">
        <v>8</v>
      </c>
      <c r="C14" s="4" t="s">
        <v>22</v>
      </c>
      <c r="D14" s="20">
        <v>2365</v>
      </c>
      <c r="E14" s="20">
        <v>648</v>
      </c>
      <c r="F14" s="20">
        <v>222738</v>
      </c>
      <c r="G14" s="20">
        <v>0</v>
      </c>
      <c r="H14" s="20">
        <v>110822</v>
      </c>
      <c r="I14" s="20">
        <v>2143</v>
      </c>
      <c r="J14" s="20">
        <v>169214</v>
      </c>
      <c r="K14" s="20">
        <v>10.1199514</v>
      </c>
      <c r="L14" s="20">
        <v>402.23891794000002</v>
      </c>
      <c r="M14" s="20">
        <v>7998550</v>
      </c>
      <c r="N14" s="20">
        <v>6958597</v>
      </c>
      <c r="O14" s="20">
        <v>4072890</v>
      </c>
      <c r="P14" s="20">
        <v>28850.00858351</v>
      </c>
      <c r="Q14" s="20">
        <v>4896.0695633000005</v>
      </c>
      <c r="Y14" s="85" t="s">
        <v>219</v>
      </c>
      <c r="Z14" s="87">
        <f>(Z13-Z12)/Z12</f>
        <v>-5.3939144160800943E-2</v>
      </c>
      <c r="AD14" s="84">
        <f>(AD13-AD12)/AD12</f>
        <v>0.24785438900361215</v>
      </c>
      <c r="AF14" s="84">
        <f>(AF13-AF12)/AF12</f>
        <v>0.25618433426120912</v>
      </c>
      <c r="AI14" s="84">
        <f>(AI13-AI12)/AI12</f>
        <v>0.25211555856013301</v>
      </c>
      <c r="AK14" s="84">
        <f>(AK13-AK12)/AK12</f>
        <v>0.17417780003468242</v>
      </c>
    </row>
    <row r="15" spans="2:37" x14ac:dyDescent="0.25">
      <c r="B15" s="3">
        <v>9</v>
      </c>
      <c r="C15" s="4" t="s">
        <v>23</v>
      </c>
      <c r="D15" s="20">
        <v>3166</v>
      </c>
      <c r="E15" s="20">
        <v>725</v>
      </c>
      <c r="F15" s="20">
        <v>11022</v>
      </c>
      <c r="G15" s="20">
        <v>0</v>
      </c>
      <c r="H15" s="20">
        <v>87553</v>
      </c>
      <c r="I15" s="20">
        <v>2664</v>
      </c>
      <c r="J15" s="20">
        <v>140448</v>
      </c>
      <c r="K15" s="20">
        <v>15.1</v>
      </c>
      <c r="L15" s="20">
        <v>314.60000000000002</v>
      </c>
      <c r="M15" s="20">
        <v>14395004</v>
      </c>
      <c r="N15" s="20">
        <v>34062346</v>
      </c>
      <c r="O15" s="20">
        <v>7877588</v>
      </c>
      <c r="P15" s="20">
        <v>65218.9</v>
      </c>
      <c r="Q15" s="20">
        <v>8423.6</v>
      </c>
    </row>
    <row r="16" spans="2:37" x14ac:dyDescent="0.25">
      <c r="B16" s="3">
        <v>10</v>
      </c>
      <c r="C16" s="4" t="s">
        <v>24</v>
      </c>
      <c r="D16" s="20">
        <v>2968</v>
      </c>
      <c r="E16" s="20">
        <v>466</v>
      </c>
      <c r="F16" s="20">
        <v>19750</v>
      </c>
      <c r="G16" s="20">
        <v>0</v>
      </c>
      <c r="H16" s="20">
        <v>58197</v>
      </c>
      <c r="I16" s="20">
        <v>952</v>
      </c>
      <c r="J16" s="20">
        <v>97384</v>
      </c>
      <c r="K16" s="20">
        <v>3.8055590000000001</v>
      </c>
      <c r="L16" s="20">
        <v>188.74639400000001</v>
      </c>
      <c r="M16" s="20">
        <v>16584511</v>
      </c>
      <c r="N16" s="20">
        <v>13335845</v>
      </c>
      <c r="O16" s="20">
        <v>4806176</v>
      </c>
      <c r="P16" s="20">
        <v>56373.416700000002</v>
      </c>
      <c r="Q16" s="20">
        <v>6421.481366</v>
      </c>
    </row>
    <row r="17" spans="2:17" x14ac:dyDescent="0.25">
      <c r="B17" s="3">
        <v>11</v>
      </c>
      <c r="C17" s="4" t="s">
        <v>25</v>
      </c>
      <c r="D17" s="20">
        <v>2340</v>
      </c>
      <c r="E17" s="20">
        <v>284</v>
      </c>
      <c r="F17" s="20">
        <v>8914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11236237</v>
      </c>
      <c r="N17" s="20">
        <v>5649651</v>
      </c>
      <c r="O17" s="20">
        <v>3765005</v>
      </c>
      <c r="P17" s="20">
        <v>24835.1</v>
      </c>
      <c r="Q17" s="20">
        <v>4262.2</v>
      </c>
    </row>
    <row r="18" spans="2:17" x14ac:dyDescent="0.25">
      <c r="B18" s="3">
        <v>12</v>
      </c>
      <c r="C18" s="4" t="s">
        <v>26</v>
      </c>
      <c r="D18" s="20">
        <v>1153</v>
      </c>
      <c r="E18" s="20">
        <v>48</v>
      </c>
      <c r="F18" s="20">
        <v>1066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2164083</v>
      </c>
      <c r="N18" s="20">
        <v>1440328</v>
      </c>
      <c r="O18" s="20">
        <v>423704</v>
      </c>
      <c r="P18" s="20">
        <v>6062.0560089999999</v>
      </c>
      <c r="Q18" s="20">
        <v>723.14454439999997</v>
      </c>
    </row>
    <row r="19" spans="2:17" x14ac:dyDescent="0.25">
      <c r="B19" s="3">
        <v>13</v>
      </c>
      <c r="C19" s="4" t="s">
        <v>27</v>
      </c>
      <c r="D19" s="20">
        <v>5272</v>
      </c>
      <c r="E19" s="20">
        <v>3815</v>
      </c>
      <c r="F19" s="20">
        <v>66127</v>
      </c>
      <c r="G19" s="20">
        <v>0</v>
      </c>
      <c r="H19" s="20">
        <v>334852</v>
      </c>
      <c r="I19" s="20">
        <v>7711</v>
      </c>
      <c r="J19" s="20">
        <v>644848</v>
      </c>
      <c r="K19" s="20">
        <v>34.033289780000004</v>
      </c>
      <c r="L19" s="20">
        <v>1325.6481463999999</v>
      </c>
      <c r="M19" s="20">
        <v>74156192</v>
      </c>
      <c r="N19" s="20">
        <v>24808441</v>
      </c>
      <c r="O19" s="20">
        <v>14843252</v>
      </c>
      <c r="P19" s="20">
        <v>113231.15538938</v>
      </c>
      <c r="Q19" s="20">
        <v>19253.56640512</v>
      </c>
    </row>
    <row r="20" spans="2:17" x14ac:dyDescent="0.25">
      <c r="B20" s="3">
        <v>14</v>
      </c>
      <c r="C20" s="4" t="s">
        <v>28</v>
      </c>
      <c r="D20" s="20">
        <v>4115</v>
      </c>
      <c r="E20" s="20">
        <v>407</v>
      </c>
      <c r="F20" s="20">
        <v>8829</v>
      </c>
      <c r="G20" s="20">
        <v>0</v>
      </c>
      <c r="H20" s="20">
        <v>46099</v>
      </c>
      <c r="I20" s="20">
        <v>2674</v>
      </c>
      <c r="J20" s="20">
        <v>185768</v>
      </c>
      <c r="K20" s="20">
        <v>11.52140837</v>
      </c>
      <c r="L20" s="20">
        <v>422.42782806000002</v>
      </c>
      <c r="M20" s="20">
        <v>8313504</v>
      </c>
      <c r="N20" s="20">
        <v>9405257</v>
      </c>
      <c r="O20" s="20">
        <v>5558837</v>
      </c>
      <c r="P20" s="20">
        <v>38504.522340690004</v>
      </c>
      <c r="Q20" s="20">
        <v>6352.5627455100002</v>
      </c>
    </row>
    <row r="21" spans="2:17" x14ac:dyDescent="0.25">
      <c r="B21" s="3">
        <v>15</v>
      </c>
      <c r="C21" s="4" t="s">
        <v>29</v>
      </c>
      <c r="D21" s="20">
        <v>2030</v>
      </c>
      <c r="E21" s="20">
        <v>323</v>
      </c>
      <c r="F21" s="20">
        <v>4604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6825447</v>
      </c>
      <c r="N21" s="20">
        <v>5879795</v>
      </c>
      <c r="O21" s="20">
        <v>3520750</v>
      </c>
      <c r="P21" s="20">
        <v>23281.59318</v>
      </c>
      <c r="Q21" s="20">
        <v>4166.6704410000002</v>
      </c>
    </row>
    <row r="22" spans="2:17" x14ac:dyDescent="0.25">
      <c r="B22" s="3">
        <v>16</v>
      </c>
      <c r="C22" s="4" t="s">
        <v>30</v>
      </c>
      <c r="D22" s="20">
        <v>3904</v>
      </c>
      <c r="E22" s="20">
        <v>2775</v>
      </c>
      <c r="F22" s="20">
        <v>51093</v>
      </c>
      <c r="G22" s="20">
        <v>0</v>
      </c>
      <c r="H22" s="20">
        <v>47578</v>
      </c>
      <c r="I22" s="20">
        <v>3890</v>
      </c>
      <c r="J22" s="20">
        <v>229993</v>
      </c>
      <c r="K22" s="20">
        <v>19.519555489999998</v>
      </c>
      <c r="L22" s="20">
        <v>599.84019637999995</v>
      </c>
      <c r="M22" s="20">
        <v>16863450</v>
      </c>
      <c r="N22" s="20">
        <v>27901060</v>
      </c>
      <c r="O22" s="20">
        <v>10506114</v>
      </c>
      <c r="P22" s="20">
        <v>86988.315122</v>
      </c>
      <c r="Q22" s="20">
        <v>11230.10190308</v>
      </c>
    </row>
    <row r="23" spans="2:17" x14ac:dyDescent="0.25">
      <c r="B23" s="3">
        <v>17</v>
      </c>
      <c r="C23" s="4" t="s">
        <v>31</v>
      </c>
      <c r="D23" s="20">
        <v>996</v>
      </c>
      <c r="E23" s="20">
        <v>1021</v>
      </c>
      <c r="F23" s="20">
        <v>5462</v>
      </c>
      <c r="G23" s="20">
        <v>0</v>
      </c>
      <c r="H23" s="20">
        <v>7538</v>
      </c>
      <c r="I23" s="20">
        <v>242</v>
      </c>
      <c r="J23" s="20">
        <v>9278</v>
      </c>
      <c r="K23" s="20">
        <v>1.0216000000000001</v>
      </c>
      <c r="L23" s="20">
        <v>21.916442350000001</v>
      </c>
      <c r="M23" s="20">
        <v>8247430</v>
      </c>
      <c r="N23" s="20">
        <v>7807532</v>
      </c>
      <c r="O23" s="20">
        <v>2356887</v>
      </c>
      <c r="P23" s="20">
        <v>28301.703709000001</v>
      </c>
      <c r="Q23" s="20">
        <v>2931.2013569999999</v>
      </c>
    </row>
    <row r="24" spans="2:17" x14ac:dyDescent="0.25">
      <c r="B24" s="3">
        <v>18</v>
      </c>
      <c r="C24" s="4" t="s">
        <v>32</v>
      </c>
      <c r="D24" s="20">
        <v>2204</v>
      </c>
      <c r="E24" s="20">
        <v>1497</v>
      </c>
      <c r="F24" s="20">
        <v>34578</v>
      </c>
      <c r="G24" s="20">
        <v>0</v>
      </c>
      <c r="H24" s="20">
        <v>33138</v>
      </c>
      <c r="I24" s="20">
        <v>867</v>
      </c>
      <c r="J24" s="20">
        <v>138805</v>
      </c>
      <c r="K24" s="20">
        <v>4.7343334000000006</v>
      </c>
      <c r="L24" s="20">
        <v>335.47402570999998</v>
      </c>
      <c r="M24" s="20">
        <v>12283024</v>
      </c>
      <c r="N24" s="20">
        <v>9476616</v>
      </c>
      <c r="O24" s="20">
        <v>6386545</v>
      </c>
      <c r="P24" s="20">
        <v>42078.305652709998</v>
      </c>
      <c r="Q24" s="20">
        <v>8390.9577056899998</v>
      </c>
    </row>
    <row r="25" spans="2:17" x14ac:dyDescent="0.25">
      <c r="B25" s="3">
        <v>19</v>
      </c>
      <c r="C25" s="4" t="s">
        <v>33</v>
      </c>
      <c r="D25" s="20">
        <v>25583</v>
      </c>
      <c r="E25" s="20">
        <v>32885</v>
      </c>
      <c r="F25" s="20">
        <v>580765</v>
      </c>
      <c r="G25" s="20">
        <v>0</v>
      </c>
      <c r="H25" s="20">
        <v>8545759</v>
      </c>
      <c r="I25" s="20">
        <v>154499</v>
      </c>
      <c r="J25" s="20">
        <v>26511681</v>
      </c>
      <c r="K25" s="20">
        <v>595.23168399999997</v>
      </c>
      <c r="L25" s="20">
        <v>94792.482470380026</v>
      </c>
      <c r="M25" s="20">
        <v>297073038</v>
      </c>
      <c r="N25" s="20">
        <v>382742667</v>
      </c>
      <c r="O25" s="20">
        <v>118453038</v>
      </c>
      <c r="P25" s="20">
        <v>1100651.2958477901</v>
      </c>
      <c r="Q25" s="20">
        <v>164191.48264698999</v>
      </c>
    </row>
    <row r="26" spans="2:17" x14ac:dyDescent="0.25">
      <c r="B26" s="3">
        <v>20</v>
      </c>
      <c r="C26" s="4" t="s">
        <v>34</v>
      </c>
      <c r="D26" s="20">
        <v>5261</v>
      </c>
      <c r="E26" s="20">
        <v>11571</v>
      </c>
      <c r="F26" s="20">
        <v>504004</v>
      </c>
      <c r="G26" s="20">
        <v>0</v>
      </c>
      <c r="H26" s="20">
        <v>6076537</v>
      </c>
      <c r="I26" s="20">
        <v>106673</v>
      </c>
      <c r="J26" s="20">
        <v>16552071</v>
      </c>
      <c r="K26" s="20">
        <v>455.035372</v>
      </c>
      <c r="L26" s="20">
        <v>60699.963273000001</v>
      </c>
      <c r="M26" s="20">
        <v>24513438</v>
      </c>
      <c r="N26" s="20">
        <v>28563247</v>
      </c>
      <c r="O26" s="20">
        <v>28348998</v>
      </c>
      <c r="P26" s="20">
        <v>144103.58735616002</v>
      </c>
      <c r="Q26" s="20">
        <v>41149.600924999999</v>
      </c>
    </row>
    <row r="27" spans="2:17" x14ac:dyDescent="0.25">
      <c r="B27" s="3">
        <v>21</v>
      </c>
      <c r="C27" s="4" t="s">
        <v>35</v>
      </c>
      <c r="D27" s="20">
        <v>481</v>
      </c>
      <c r="E27" s="20">
        <v>0</v>
      </c>
      <c r="F27" s="20">
        <v>26907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2915615</v>
      </c>
      <c r="N27" s="20">
        <v>2142270</v>
      </c>
      <c r="O27" s="20">
        <v>881592</v>
      </c>
      <c r="P27" s="20">
        <v>8269.0138669999997</v>
      </c>
      <c r="Q27" s="20">
        <v>1309.23536575</v>
      </c>
    </row>
    <row r="28" spans="2:17" x14ac:dyDescent="0.25">
      <c r="B28" s="3">
        <v>22</v>
      </c>
      <c r="C28" s="4" t="s">
        <v>36</v>
      </c>
      <c r="D28" s="20">
        <v>235</v>
      </c>
      <c r="E28" s="20">
        <v>46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597437</v>
      </c>
      <c r="N28" s="20">
        <v>642691</v>
      </c>
      <c r="O28" s="20">
        <v>153545</v>
      </c>
      <c r="P28" s="20">
        <v>1931.1782000000001</v>
      </c>
      <c r="Q28" s="20">
        <v>254.79258300000001</v>
      </c>
    </row>
    <row r="29" spans="2:17" x14ac:dyDescent="0.25">
      <c r="B29" s="3">
        <v>23</v>
      </c>
      <c r="C29" s="4" t="s">
        <v>37</v>
      </c>
      <c r="D29" s="20">
        <v>1008</v>
      </c>
      <c r="E29" s="20">
        <v>684</v>
      </c>
      <c r="F29" s="20">
        <v>9930</v>
      </c>
      <c r="G29" s="20">
        <v>0</v>
      </c>
      <c r="H29" s="20">
        <v>6738</v>
      </c>
      <c r="I29" s="20">
        <v>617</v>
      </c>
      <c r="J29" s="20">
        <v>22583</v>
      </c>
      <c r="K29" s="20">
        <v>2.6570923199999998</v>
      </c>
      <c r="L29" s="20">
        <v>59.402201229999996</v>
      </c>
      <c r="M29" s="20">
        <v>1818150</v>
      </c>
      <c r="N29" s="20">
        <v>2413621</v>
      </c>
      <c r="O29" s="20">
        <v>918070</v>
      </c>
      <c r="P29" s="20">
        <v>11100.306329700001</v>
      </c>
      <c r="Q29" s="20">
        <v>1162.0997309499999</v>
      </c>
    </row>
    <row r="30" spans="2:17" x14ac:dyDescent="0.25">
      <c r="B30" s="3">
        <v>24</v>
      </c>
      <c r="C30" s="4" t="s">
        <v>38</v>
      </c>
      <c r="D30" s="20">
        <v>285</v>
      </c>
      <c r="E30" s="20">
        <v>218</v>
      </c>
      <c r="F30" s="20">
        <v>5444</v>
      </c>
      <c r="G30" s="20">
        <v>0</v>
      </c>
      <c r="H30" s="20">
        <v>92043</v>
      </c>
      <c r="I30" s="20">
        <v>22233</v>
      </c>
      <c r="J30" s="20">
        <v>156612</v>
      </c>
      <c r="K30" s="20">
        <v>115.76296499999999</v>
      </c>
      <c r="L30" s="20">
        <v>239.37541100000001</v>
      </c>
      <c r="M30" s="20">
        <v>533902</v>
      </c>
      <c r="N30" s="20">
        <v>537892</v>
      </c>
      <c r="O30" s="20">
        <v>396840</v>
      </c>
      <c r="P30" s="20">
        <v>2741.3298239999999</v>
      </c>
      <c r="Q30" s="20">
        <v>738.87289799999996</v>
      </c>
    </row>
    <row r="31" spans="2:17" x14ac:dyDescent="0.25">
      <c r="B31" s="3">
        <v>25</v>
      </c>
      <c r="C31" s="4" t="s">
        <v>39</v>
      </c>
      <c r="D31" s="20">
        <v>209</v>
      </c>
      <c r="E31" s="20">
        <v>137</v>
      </c>
      <c r="F31" s="20">
        <v>1205</v>
      </c>
      <c r="G31" s="20">
        <v>0</v>
      </c>
      <c r="H31" s="20">
        <v>6600</v>
      </c>
      <c r="I31" s="20">
        <v>84</v>
      </c>
      <c r="J31" s="20">
        <v>16983</v>
      </c>
      <c r="K31" s="20">
        <v>0.2843</v>
      </c>
      <c r="L31" s="20">
        <v>33.354975000000003</v>
      </c>
      <c r="M31" s="20">
        <v>421947</v>
      </c>
      <c r="N31" s="20">
        <v>554641</v>
      </c>
      <c r="O31" s="20">
        <v>265593</v>
      </c>
      <c r="P31" s="20">
        <v>1861.2514000000001</v>
      </c>
      <c r="Q31" s="20">
        <v>383.49879600000003</v>
      </c>
    </row>
    <row r="32" spans="2:17" x14ac:dyDescent="0.25">
      <c r="B32" s="3">
        <v>26</v>
      </c>
      <c r="C32" s="4" t="s">
        <v>40</v>
      </c>
      <c r="D32" s="20">
        <v>1168</v>
      </c>
      <c r="E32" s="20">
        <v>487</v>
      </c>
      <c r="F32" s="20">
        <v>6982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5686297</v>
      </c>
      <c r="N32" s="20">
        <v>8006462</v>
      </c>
      <c r="O32" s="20">
        <v>4929536</v>
      </c>
      <c r="P32" s="20">
        <v>40916.887496970005</v>
      </c>
      <c r="Q32" s="20">
        <v>6874.0438144299997</v>
      </c>
    </row>
    <row r="33" spans="2:17" x14ac:dyDescent="0.25">
      <c r="B33" s="3">
        <v>27</v>
      </c>
      <c r="C33" s="4" t="s">
        <v>41</v>
      </c>
      <c r="D33" s="20">
        <v>6069</v>
      </c>
      <c r="E33" s="20">
        <v>7193</v>
      </c>
      <c r="F33" s="20">
        <v>531547</v>
      </c>
      <c r="G33" s="20">
        <v>0</v>
      </c>
      <c r="H33" s="20">
        <v>12574139</v>
      </c>
      <c r="I33" s="20">
        <v>180818</v>
      </c>
      <c r="J33" s="20">
        <v>44680208</v>
      </c>
      <c r="K33" s="20">
        <v>1035.074507</v>
      </c>
      <c r="L33" s="20">
        <v>161032.84456200001</v>
      </c>
      <c r="M33" s="20">
        <v>27425468</v>
      </c>
      <c r="N33" s="20">
        <v>37099927</v>
      </c>
      <c r="O33" s="20">
        <v>48489873</v>
      </c>
      <c r="P33" s="20">
        <v>191832.45587000001</v>
      </c>
      <c r="Q33" s="20">
        <v>71518.773362000007</v>
      </c>
    </row>
    <row r="34" spans="2:17" x14ac:dyDescent="0.25">
      <c r="B34" s="3">
        <v>28</v>
      </c>
      <c r="C34" s="4" t="s">
        <v>42</v>
      </c>
      <c r="D34" s="20">
        <v>5216</v>
      </c>
      <c r="E34" s="20">
        <v>9800</v>
      </c>
      <c r="F34" s="20">
        <v>353347</v>
      </c>
      <c r="G34" s="20">
        <v>0</v>
      </c>
      <c r="H34" s="20">
        <v>6826140</v>
      </c>
      <c r="I34" s="20">
        <v>51413</v>
      </c>
      <c r="J34" s="20">
        <v>23600721</v>
      </c>
      <c r="K34" s="20">
        <v>180.602374</v>
      </c>
      <c r="L34" s="20">
        <v>65059.624750000003</v>
      </c>
      <c r="M34" s="20">
        <v>44769955</v>
      </c>
      <c r="N34" s="20">
        <v>33797897</v>
      </c>
      <c r="O34" s="20">
        <v>40926673</v>
      </c>
      <c r="P34" s="20">
        <v>174744.92726200001</v>
      </c>
      <c r="Q34" s="20">
        <v>58265.673869999999</v>
      </c>
    </row>
    <row r="35" spans="2:17" x14ac:dyDescent="0.25">
      <c r="B35" s="3">
        <v>29</v>
      </c>
      <c r="C35" s="4" t="s">
        <v>43</v>
      </c>
      <c r="D35" s="20">
        <v>137</v>
      </c>
      <c r="E35" s="20">
        <v>6</v>
      </c>
      <c r="F35" s="20">
        <v>1807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1491191</v>
      </c>
      <c r="N35" s="20">
        <v>2253757</v>
      </c>
      <c r="O35" s="20">
        <v>1473857</v>
      </c>
      <c r="P35" s="20">
        <v>8430.1634650200012</v>
      </c>
      <c r="Q35" s="20">
        <v>1393.4838102799999</v>
      </c>
    </row>
    <row r="36" spans="2:17" x14ac:dyDescent="0.25">
      <c r="B36" s="3">
        <v>30</v>
      </c>
      <c r="C36" s="4" t="s">
        <v>44</v>
      </c>
      <c r="D36" s="20">
        <v>1091</v>
      </c>
      <c r="E36" s="20">
        <v>1493</v>
      </c>
      <c r="F36" s="20">
        <v>93510</v>
      </c>
      <c r="G36" s="20">
        <v>0</v>
      </c>
      <c r="H36" s="20">
        <v>1090367</v>
      </c>
      <c r="I36" s="20">
        <v>19259</v>
      </c>
      <c r="J36" s="20">
        <v>3477597</v>
      </c>
      <c r="K36" s="20">
        <v>96.169950689999993</v>
      </c>
      <c r="L36" s="20">
        <v>26447.190788020001</v>
      </c>
      <c r="M36" s="20">
        <v>4869822</v>
      </c>
      <c r="N36" s="20">
        <v>3638009</v>
      </c>
      <c r="O36" s="20">
        <v>2878688</v>
      </c>
      <c r="P36" s="20">
        <v>16559.224195719999</v>
      </c>
      <c r="Q36" s="20">
        <v>4341.6139999999996</v>
      </c>
    </row>
    <row r="37" spans="2:17" x14ac:dyDescent="0.25">
      <c r="B37" s="3">
        <v>31</v>
      </c>
      <c r="C37" s="4" t="s">
        <v>45</v>
      </c>
      <c r="D37" s="20">
        <v>732</v>
      </c>
      <c r="E37" s="20">
        <v>565</v>
      </c>
      <c r="F37" s="20">
        <v>16547</v>
      </c>
      <c r="G37" s="20">
        <v>0</v>
      </c>
      <c r="H37" s="20">
        <v>140008</v>
      </c>
      <c r="I37" s="20">
        <v>8998</v>
      </c>
      <c r="J37" s="20">
        <v>245506</v>
      </c>
      <c r="K37" s="20">
        <v>29.26324593</v>
      </c>
      <c r="L37" s="20">
        <v>943.52444134000007</v>
      </c>
      <c r="M37" s="20">
        <v>3879298</v>
      </c>
      <c r="N37" s="20">
        <v>6612555</v>
      </c>
      <c r="O37" s="20">
        <v>1083939</v>
      </c>
      <c r="P37" s="20">
        <v>30157.33169114</v>
      </c>
      <c r="Q37" s="20">
        <v>2908.6630843299999</v>
      </c>
    </row>
    <row r="38" spans="2:17" x14ac:dyDescent="0.25">
      <c r="B38" s="3">
        <v>32</v>
      </c>
      <c r="C38" s="4" t="s">
        <v>46</v>
      </c>
      <c r="D38" s="20">
        <v>734</v>
      </c>
      <c r="E38" s="20">
        <v>806</v>
      </c>
      <c r="F38" s="20">
        <v>12387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4735120</v>
      </c>
      <c r="N38" s="20">
        <v>4700391</v>
      </c>
      <c r="O38" s="20">
        <v>2995641</v>
      </c>
      <c r="P38" s="20">
        <v>18460.122646</v>
      </c>
      <c r="Q38" s="20">
        <v>3611.1497450000002</v>
      </c>
    </row>
    <row r="39" spans="2:17" x14ac:dyDescent="0.25">
      <c r="B39" s="3">
        <v>33</v>
      </c>
      <c r="C39" s="4" t="s">
        <v>47</v>
      </c>
      <c r="D39" s="20">
        <v>730</v>
      </c>
      <c r="E39" s="20">
        <v>913</v>
      </c>
      <c r="F39" s="20">
        <v>21818</v>
      </c>
      <c r="G39" s="20">
        <v>0</v>
      </c>
      <c r="H39" s="20">
        <v>1459</v>
      </c>
      <c r="I39" s="20">
        <v>55</v>
      </c>
      <c r="J39" s="20">
        <v>1579</v>
      </c>
      <c r="K39" s="20">
        <v>0.3342</v>
      </c>
      <c r="L39" s="20">
        <v>24.52111098</v>
      </c>
      <c r="M39" s="20">
        <v>3437756</v>
      </c>
      <c r="N39" s="20">
        <v>5715987</v>
      </c>
      <c r="O39" s="20">
        <v>2189854</v>
      </c>
      <c r="P39" s="20">
        <v>25242.610719419998</v>
      </c>
      <c r="Q39" s="20">
        <v>2793.7205429599999</v>
      </c>
    </row>
    <row r="40" spans="2:17" x14ac:dyDescent="0.25">
      <c r="B40" s="3">
        <v>34</v>
      </c>
      <c r="C40" s="4" t="s">
        <v>48</v>
      </c>
      <c r="D40" s="20">
        <v>1191</v>
      </c>
      <c r="E40" s="20">
        <v>1181</v>
      </c>
      <c r="F40" s="20">
        <v>25001</v>
      </c>
      <c r="G40" s="20">
        <v>0</v>
      </c>
      <c r="H40" s="20">
        <v>2041986</v>
      </c>
      <c r="I40" s="20">
        <v>50451</v>
      </c>
      <c r="J40" s="20">
        <v>5670230</v>
      </c>
      <c r="K40" s="20">
        <v>201.27247318000002</v>
      </c>
      <c r="L40" s="20">
        <v>15824.109100720001</v>
      </c>
      <c r="M40" s="20">
        <v>12660912</v>
      </c>
      <c r="N40" s="20">
        <v>8659522</v>
      </c>
      <c r="O40" s="20">
        <v>10437595</v>
      </c>
      <c r="P40" s="20">
        <v>34708.142063719999</v>
      </c>
      <c r="Q40" s="20">
        <v>13046.52593242998</v>
      </c>
    </row>
    <row r="41" spans="2:17" x14ac:dyDescent="0.25">
      <c r="B41" s="3">
        <v>35</v>
      </c>
      <c r="C41" s="4" t="s">
        <v>49</v>
      </c>
      <c r="D41" s="20">
        <v>224</v>
      </c>
      <c r="E41" s="20">
        <v>135</v>
      </c>
      <c r="F41" s="20">
        <v>715510</v>
      </c>
      <c r="G41" s="20">
        <v>0</v>
      </c>
      <c r="H41" s="20">
        <v>1813481</v>
      </c>
      <c r="I41" s="20">
        <v>87127</v>
      </c>
      <c r="J41" s="20">
        <v>5326074</v>
      </c>
      <c r="K41" s="20">
        <v>340.35138876999997</v>
      </c>
      <c r="L41" s="20">
        <v>18358.598435380001</v>
      </c>
      <c r="M41" s="20">
        <v>712538</v>
      </c>
      <c r="N41" s="20">
        <v>768514</v>
      </c>
      <c r="O41" s="20">
        <v>595479</v>
      </c>
      <c r="P41" s="20">
        <v>2752.6724922599997</v>
      </c>
      <c r="Q41" s="20">
        <v>712.82053654999993</v>
      </c>
    </row>
    <row r="42" spans="2:17" x14ac:dyDescent="0.25">
      <c r="B42" s="3">
        <v>36</v>
      </c>
      <c r="C42" s="4" t="s">
        <v>50</v>
      </c>
      <c r="D42" s="20">
        <v>797</v>
      </c>
      <c r="E42" s="20">
        <v>609</v>
      </c>
      <c r="F42" s="20">
        <v>11686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2846342</v>
      </c>
      <c r="N42" s="20">
        <v>2965451</v>
      </c>
      <c r="O42" s="20">
        <v>2023623</v>
      </c>
      <c r="P42" s="20">
        <v>12088.002635999999</v>
      </c>
      <c r="Q42" s="20">
        <v>2855.2225669999998</v>
      </c>
    </row>
    <row r="43" spans="2:17" x14ac:dyDescent="0.25">
      <c r="B43" s="3">
        <v>37</v>
      </c>
      <c r="C43" s="4" t="s">
        <v>51</v>
      </c>
      <c r="D43" s="20">
        <v>472</v>
      </c>
      <c r="E43" s="20">
        <v>680</v>
      </c>
      <c r="F43" s="20">
        <v>4630</v>
      </c>
      <c r="G43" s="20">
        <v>0</v>
      </c>
      <c r="H43" s="20">
        <v>19018</v>
      </c>
      <c r="I43" s="20">
        <v>2262</v>
      </c>
      <c r="J43" s="20">
        <v>50277</v>
      </c>
      <c r="K43" s="20">
        <v>10.3081006</v>
      </c>
      <c r="L43" s="20">
        <v>179.17383857999999</v>
      </c>
      <c r="M43" s="20">
        <v>1424751</v>
      </c>
      <c r="N43" s="20">
        <v>4641082</v>
      </c>
      <c r="O43" s="20">
        <v>658975</v>
      </c>
      <c r="P43" s="20">
        <v>19444.322199999999</v>
      </c>
      <c r="Q43" s="20">
        <v>962.70664359999989</v>
      </c>
    </row>
    <row r="44" spans="2:17" x14ac:dyDescent="0.25">
      <c r="B44" s="3">
        <v>38</v>
      </c>
      <c r="C44" s="4" t="s">
        <v>52</v>
      </c>
      <c r="D44" s="20">
        <v>449</v>
      </c>
      <c r="E44" s="20">
        <v>599</v>
      </c>
      <c r="F44" s="20">
        <v>4983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1376056</v>
      </c>
      <c r="N44" s="20">
        <v>925486</v>
      </c>
      <c r="O44" s="20">
        <v>302058</v>
      </c>
      <c r="P44" s="20">
        <v>4202.7</v>
      </c>
      <c r="Q44" s="20">
        <v>486.80099999999999</v>
      </c>
    </row>
    <row r="45" spans="2:17" x14ac:dyDescent="0.25">
      <c r="B45" s="3">
        <v>39</v>
      </c>
      <c r="C45" s="4" t="s">
        <v>53</v>
      </c>
      <c r="D45" s="20">
        <v>911</v>
      </c>
      <c r="E45" s="20">
        <v>419</v>
      </c>
      <c r="F45" s="20">
        <v>119358</v>
      </c>
      <c r="G45" s="20">
        <v>0</v>
      </c>
      <c r="H45" s="20">
        <v>520031</v>
      </c>
      <c r="I45" s="20">
        <v>7665</v>
      </c>
      <c r="J45" s="20">
        <v>1694680</v>
      </c>
      <c r="K45" s="20">
        <v>31.32916612</v>
      </c>
      <c r="L45" s="20">
        <v>4870.7658423299999</v>
      </c>
      <c r="M45" s="20">
        <v>2474297</v>
      </c>
      <c r="N45" s="20">
        <v>3204720</v>
      </c>
      <c r="O45" s="20">
        <v>3356980</v>
      </c>
      <c r="P45" s="20">
        <v>13998.460297</v>
      </c>
      <c r="Q45" s="20">
        <v>4863.0864796400001</v>
      </c>
    </row>
    <row r="46" spans="2:17" x14ac:dyDescent="0.25">
      <c r="B46" s="3">
        <v>40</v>
      </c>
      <c r="C46" s="4" t="s">
        <v>54</v>
      </c>
      <c r="D46" s="20">
        <v>0</v>
      </c>
      <c r="E46" s="20">
        <v>0</v>
      </c>
      <c r="F46" s="20">
        <v>43952</v>
      </c>
      <c r="G46" s="20">
        <v>0</v>
      </c>
      <c r="H46" s="20">
        <v>1487185</v>
      </c>
      <c r="I46" s="20">
        <v>2855</v>
      </c>
      <c r="J46" s="20">
        <v>6890763</v>
      </c>
      <c r="K46" s="20">
        <v>20.476400000000002</v>
      </c>
      <c r="L46" s="20">
        <v>52227.611222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</row>
    <row r="47" spans="2:17" x14ac:dyDescent="0.25">
      <c r="B47" s="3">
        <v>41</v>
      </c>
      <c r="C47" s="4" t="s">
        <v>55</v>
      </c>
      <c r="D47" s="20">
        <v>0</v>
      </c>
      <c r="E47" s="20">
        <v>0</v>
      </c>
      <c r="F47" s="20">
        <v>0</v>
      </c>
      <c r="G47" s="20">
        <v>0</v>
      </c>
      <c r="H47" s="20">
        <v>23256</v>
      </c>
      <c r="I47" s="20">
        <v>185</v>
      </c>
      <c r="J47" s="20">
        <v>66816</v>
      </c>
      <c r="K47" s="20">
        <v>1.7139746299999998</v>
      </c>
      <c r="L47" s="20">
        <v>521.75735428999997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 spans="2:17" x14ac:dyDescent="0.25">
      <c r="B48" s="3">
        <v>42</v>
      </c>
      <c r="C48" s="4" t="s">
        <v>56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2699</v>
      </c>
      <c r="N48" s="20">
        <v>113</v>
      </c>
      <c r="O48" s="20">
        <v>169</v>
      </c>
      <c r="P48" s="20">
        <v>0.84041541000000008</v>
      </c>
      <c r="Q48" s="20">
        <v>0.49590801000000001</v>
      </c>
    </row>
    <row r="49" spans="2:17" x14ac:dyDescent="0.25">
      <c r="B49" s="3">
        <v>43</v>
      </c>
      <c r="C49" s="4" t="s">
        <v>57</v>
      </c>
      <c r="D49" s="20">
        <v>47</v>
      </c>
      <c r="E49" s="20">
        <v>479</v>
      </c>
      <c r="F49" s="20">
        <v>34827</v>
      </c>
      <c r="G49" s="20">
        <v>0</v>
      </c>
      <c r="H49" s="20">
        <v>2712405</v>
      </c>
      <c r="I49" s="20">
        <v>37523</v>
      </c>
      <c r="J49" s="20">
        <v>21079180</v>
      </c>
      <c r="K49" s="20">
        <v>219.09131600000001</v>
      </c>
      <c r="L49" s="20">
        <v>48294.155421000003</v>
      </c>
      <c r="M49" s="20">
        <v>1623826</v>
      </c>
      <c r="N49" s="20">
        <v>2008991</v>
      </c>
      <c r="O49" s="20">
        <v>5393415</v>
      </c>
      <c r="P49" s="20">
        <v>8229.0008049999997</v>
      </c>
      <c r="Q49" s="20">
        <v>9755.8703729999997</v>
      </c>
    </row>
    <row r="50" spans="2:17" x14ac:dyDescent="0.25">
      <c r="B50" s="3">
        <v>44</v>
      </c>
      <c r="C50" s="4" t="s">
        <v>58</v>
      </c>
      <c r="D50" s="20">
        <v>16</v>
      </c>
      <c r="E50" s="20">
        <v>28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2642059</v>
      </c>
      <c r="N50" s="20">
        <v>1024819</v>
      </c>
      <c r="O50" s="20">
        <v>1633547</v>
      </c>
      <c r="P50" s="20">
        <v>2117.9038430000001</v>
      </c>
      <c r="Q50" s="20">
        <v>1157.114689</v>
      </c>
    </row>
    <row r="51" spans="2:17" x14ac:dyDescent="0.25">
      <c r="B51" s="3">
        <v>45</v>
      </c>
      <c r="C51" s="4" t="s">
        <v>59</v>
      </c>
      <c r="D51" s="20">
        <v>13</v>
      </c>
      <c r="E51" s="20">
        <v>19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128799</v>
      </c>
      <c r="N51" s="20">
        <v>113197</v>
      </c>
      <c r="O51" s="20">
        <v>217023</v>
      </c>
      <c r="P51" s="20">
        <v>548.78322400000002</v>
      </c>
      <c r="Q51" s="20">
        <v>351.80336699999998</v>
      </c>
    </row>
    <row r="52" spans="2:17" x14ac:dyDescent="0.25">
      <c r="B52" s="3">
        <v>46</v>
      </c>
      <c r="C52" s="4" t="s">
        <v>60</v>
      </c>
      <c r="D52" s="20">
        <v>45</v>
      </c>
      <c r="E52" s="20">
        <v>44</v>
      </c>
      <c r="F52" s="20">
        <v>0</v>
      </c>
      <c r="G52" s="20">
        <v>0</v>
      </c>
      <c r="H52" s="20">
        <v>748451</v>
      </c>
      <c r="I52" s="20">
        <v>4443</v>
      </c>
      <c r="J52" s="20">
        <v>2111038</v>
      </c>
      <c r="K52" s="20">
        <v>31.1494</v>
      </c>
      <c r="L52" s="20">
        <v>6903.0613549999998</v>
      </c>
      <c r="M52" s="20">
        <v>456475</v>
      </c>
      <c r="N52" s="20">
        <v>354351</v>
      </c>
      <c r="O52" s="20">
        <v>471817</v>
      </c>
      <c r="P52" s="20">
        <v>7349.6095649999997</v>
      </c>
      <c r="Q52" s="20">
        <v>1457.565642</v>
      </c>
    </row>
    <row r="53" spans="2:17" x14ac:dyDescent="0.25">
      <c r="B53" s="3">
        <v>47</v>
      </c>
      <c r="C53" s="4" t="s">
        <v>61</v>
      </c>
      <c r="D53" s="20">
        <v>101</v>
      </c>
      <c r="E53" s="20">
        <v>122</v>
      </c>
      <c r="F53" s="20">
        <v>0</v>
      </c>
      <c r="G53" s="20">
        <v>0</v>
      </c>
      <c r="H53" s="20">
        <v>1289826</v>
      </c>
      <c r="I53" s="20">
        <v>5192</v>
      </c>
      <c r="J53" s="20">
        <v>4590531</v>
      </c>
      <c r="K53" s="20">
        <v>30.578216999999999</v>
      </c>
      <c r="L53" s="20">
        <v>11266.801826000001</v>
      </c>
      <c r="M53" s="20">
        <v>961898</v>
      </c>
      <c r="N53" s="20">
        <v>1862936</v>
      </c>
      <c r="O53" s="20">
        <v>3133597</v>
      </c>
      <c r="P53" s="20">
        <v>6259.8850970000003</v>
      </c>
      <c r="Q53" s="20">
        <v>3508.332805</v>
      </c>
    </row>
    <row r="54" spans="2:17" ht="12.75" customHeight="1" x14ac:dyDescent="0.25">
      <c r="B54" s="3">
        <v>48</v>
      </c>
      <c r="C54" s="4" t="s">
        <v>62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4808</v>
      </c>
      <c r="N54" s="20">
        <v>0</v>
      </c>
      <c r="O54" s="20">
        <v>767</v>
      </c>
      <c r="P54" s="20">
        <v>0</v>
      </c>
      <c r="Q54" s="20">
        <v>0.48952259000000004</v>
      </c>
    </row>
    <row r="55" spans="2:17" ht="12.75" customHeight="1" x14ac:dyDescent="0.25">
      <c r="B55" s="3">
        <v>49</v>
      </c>
      <c r="C55" s="4" t="s">
        <v>63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949155</v>
      </c>
      <c r="N55" s="20">
        <v>0</v>
      </c>
      <c r="O55" s="20">
        <v>1049535</v>
      </c>
      <c r="P55" s="20">
        <v>0</v>
      </c>
      <c r="Q55" s="20">
        <v>573.25190267999994</v>
      </c>
    </row>
    <row r="56" spans="2:17" ht="12.75" customHeight="1" x14ac:dyDescent="0.25">
      <c r="B56" s="3">
        <v>50</v>
      </c>
      <c r="C56" s="4" t="s">
        <v>64</v>
      </c>
      <c r="D56" s="20">
        <v>0</v>
      </c>
      <c r="E56" s="20">
        <v>0</v>
      </c>
      <c r="F56" s="20">
        <v>262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464140</v>
      </c>
      <c r="N56" s="20">
        <v>208317</v>
      </c>
      <c r="O56" s="20">
        <v>113363</v>
      </c>
      <c r="P56" s="20">
        <v>665.27091800000005</v>
      </c>
      <c r="Q56" s="20">
        <v>81.097371390000006</v>
      </c>
    </row>
    <row r="57" spans="2:17" ht="12" customHeight="1" x14ac:dyDescent="0.25">
      <c r="B57" s="3">
        <v>51</v>
      </c>
      <c r="C57" s="4" t="s">
        <v>65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</row>
    <row r="58" spans="2:17" ht="12.75" customHeight="1" x14ac:dyDescent="0.25">
      <c r="B58" s="3">
        <v>52</v>
      </c>
      <c r="C58" s="4" t="s">
        <v>66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</row>
    <row r="59" spans="2:17" ht="12.75" customHeight="1" x14ac:dyDescent="0.25">
      <c r="B59" s="3">
        <v>53</v>
      </c>
      <c r="C59" s="4" t="s">
        <v>67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100</v>
      </c>
      <c r="N59" s="20">
        <v>11</v>
      </c>
      <c r="O59" s="20">
        <v>52</v>
      </c>
      <c r="P59" s="20">
        <v>1.4500000000000001E-2</v>
      </c>
      <c r="Q59" s="20">
        <v>1.62548E-2</v>
      </c>
    </row>
    <row r="60" spans="2:17" ht="12.75" customHeight="1" x14ac:dyDescent="0.25">
      <c r="B60" s="3">
        <v>54</v>
      </c>
      <c r="C60" s="4" t="s">
        <v>68</v>
      </c>
      <c r="D60" s="20">
        <v>2</v>
      </c>
      <c r="E60" s="20">
        <v>0</v>
      </c>
      <c r="F60" s="20">
        <v>15565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45335254</v>
      </c>
      <c r="N60" s="20">
        <v>1487498</v>
      </c>
      <c r="O60" s="20">
        <v>3024375</v>
      </c>
      <c r="P60" s="20">
        <v>4355.207281</v>
      </c>
      <c r="Q60" s="20">
        <v>1855.0654931200004</v>
      </c>
    </row>
    <row r="61" spans="2:17" ht="12.75" customHeight="1" x14ac:dyDescent="0.25">
      <c r="B61" s="3">
        <v>55</v>
      </c>
      <c r="C61" s="4" t="s">
        <v>69</v>
      </c>
      <c r="D61" s="20">
        <v>290</v>
      </c>
      <c r="E61" s="20">
        <v>256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916052</v>
      </c>
      <c r="N61" s="20">
        <v>603524</v>
      </c>
      <c r="O61" s="20">
        <v>310826</v>
      </c>
      <c r="P61" s="20">
        <v>3349.6046409999999</v>
      </c>
      <c r="Q61" s="20">
        <v>448.59999900000003</v>
      </c>
    </row>
    <row r="62" spans="2:17" ht="12.75" customHeight="1" x14ac:dyDescent="0.25">
      <c r="B62" s="3">
        <v>56</v>
      </c>
      <c r="C62" s="4" t="s">
        <v>70</v>
      </c>
      <c r="D62" s="20">
        <v>130</v>
      </c>
      <c r="E62" s="20">
        <v>1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97056</v>
      </c>
      <c r="N62" s="20">
        <v>75440</v>
      </c>
      <c r="O62" s="20">
        <v>43301</v>
      </c>
      <c r="P62" s="20">
        <v>342.38842599999998</v>
      </c>
      <c r="Q62" s="20">
        <v>64.290638659999999</v>
      </c>
    </row>
    <row r="63" spans="2:17" ht="12.75" customHeight="1" x14ac:dyDescent="0.25">
      <c r="B63" s="3">
        <v>57</v>
      </c>
      <c r="C63" s="4" t="s">
        <v>71</v>
      </c>
      <c r="D63" s="20">
        <v>74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914586</v>
      </c>
      <c r="N63" s="20">
        <v>557608</v>
      </c>
      <c r="O63" s="20">
        <v>17026</v>
      </c>
      <c r="P63" s="20">
        <v>2971.99</v>
      </c>
      <c r="Q63" s="20">
        <v>12.67</v>
      </c>
    </row>
    <row r="64" spans="2:17" ht="12.75" customHeight="1" x14ac:dyDescent="0.25">
      <c r="B64" s="3">
        <v>58</v>
      </c>
      <c r="C64" s="4" t="s">
        <v>72</v>
      </c>
      <c r="D64" s="20">
        <v>320</v>
      </c>
      <c r="E64" s="20">
        <v>2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531700</v>
      </c>
      <c r="N64" s="20">
        <v>965899</v>
      </c>
      <c r="O64" s="20">
        <v>146534</v>
      </c>
      <c r="P64" s="20">
        <v>2584.8818000000001</v>
      </c>
      <c r="Q64" s="20">
        <v>329.27788492000002</v>
      </c>
    </row>
    <row r="65" spans="2:17" ht="12.75" customHeight="1" x14ac:dyDescent="0.25">
      <c r="B65" s="3">
        <v>59</v>
      </c>
      <c r="C65" s="4" t="s">
        <v>73</v>
      </c>
      <c r="D65" s="20">
        <v>130</v>
      </c>
      <c r="E65" s="20">
        <v>2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3141718</v>
      </c>
      <c r="N65" s="20">
        <v>497941</v>
      </c>
      <c r="O65" s="20">
        <v>69964</v>
      </c>
      <c r="P65" s="20">
        <v>2807</v>
      </c>
      <c r="Q65" s="20">
        <v>61</v>
      </c>
    </row>
    <row r="66" spans="2:17" ht="12.75" customHeight="1" x14ac:dyDescent="0.25">
      <c r="B66" s="3">
        <v>60</v>
      </c>
      <c r="C66" s="4" t="s">
        <v>74</v>
      </c>
      <c r="D66" s="20">
        <v>120</v>
      </c>
      <c r="E66" s="20">
        <v>3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142215</v>
      </c>
      <c r="N66" s="20">
        <v>111109</v>
      </c>
      <c r="O66" s="20">
        <v>46116</v>
      </c>
      <c r="P66" s="20">
        <v>377.7638</v>
      </c>
      <c r="Q66" s="20">
        <v>58.412473990000002</v>
      </c>
    </row>
    <row r="67" spans="2:17" ht="12.75" customHeight="1" x14ac:dyDescent="0.25">
      <c r="B67" s="3">
        <v>61</v>
      </c>
      <c r="C67" s="4" t="s">
        <v>75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53626</v>
      </c>
      <c r="N67" s="20">
        <v>7919</v>
      </c>
      <c r="O67" s="20">
        <v>2179</v>
      </c>
      <c r="P67" s="20">
        <v>30.097829999999998</v>
      </c>
      <c r="Q67" s="20">
        <v>9.0998920600000002</v>
      </c>
    </row>
    <row r="68" spans="2:17" ht="12.75" customHeight="1" x14ac:dyDescent="0.25">
      <c r="B68" s="3">
        <v>62</v>
      </c>
      <c r="C68" s="4" t="s">
        <v>76</v>
      </c>
      <c r="D68" s="20">
        <v>25</v>
      </c>
      <c r="E68" s="20">
        <v>1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16269</v>
      </c>
      <c r="N68" s="20">
        <v>34995</v>
      </c>
      <c r="O68" s="20">
        <v>10036</v>
      </c>
      <c r="P68" s="20">
        <v>65.716099999999997</v>
      </c>
      <c r="Q68" s="20">
        <v>13.144662070000001</v>
      </c>
    </row>
    <row r="69" spans="2:17" ht="12.75" customHeight="1" x14ac:dyDescent="0.25">
      <c r="B69" s="3">
        <v>63</v>
      </c>
      <c r="C69" s="4" t="s">
        <v>77</v>
      </c>
      <c r="D69" s="20">
        <v>383</v>
      </c>
      <c r="E69" s="20">
        <v>3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2943937</v>
      </c>
      <c r="N69" s="20">
        <v>1872619</v>
      </c>
      <c r="O69" s="20">
        <v>302905</v>
      </c>
      <c r="P69" s="20">
        <v>7159.9624999999996</v>
      </c>
      <c r="Q69" s="20">
        <v>233.44882549000002</v>
      </c>
    </row>
    <row r="70" spans="2:17" ht="12.75" customHeight="1" x14ac:dyDescent="0.25">
      <c r="B70" s="3">
        <v>64</v>
      </c>
      <c r="C70" s="4" t="s">
        <v>78</v>
      </c>
      <c r="D70" s="20">
        <v>87</v>
      </c>
      <c r="E70" s="20">
        <v>36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181041</v>
      </c>
      <c r="N70" s="20">
        <v>91478</v>
      </c>
      <c r="O70" s="20">
        <v>47505</v>
      </c>
      <c r="P70" s="20">
        <v>418.88721482</v>
      </c>
      <c r="Q70" s="20">
        <v>191.68063811000022</v>
      </c>
    </row>
    <row r="71" spans="2:17" ht="12.75" customHeight="1" x14ac:dyDescent="0.3">
      <c r="B71" s="9"/>
      <c r="C71" s="10" t="s">
        <v>79</v>
      </c>
      <c r="D71" s="21">
        <f>SUM(D7:D70)</f>
        <v>109644</v>
      </c>
      <c r="E71" s="21">
        <f t="shared" ref="E71:Q71" si="0">SUM(E7:E70)</f>
        <v>97487</v>
      </c>
      <c r="F71" s="21">
        <f t="shared" si="0"/>
        <v>3757621</v>
      </c>
      <c r="G71" s="21">
        <f t="shared" si="0"/>
        <v>0</v>
      </c>
      <c r="H71" s="21">
        <f t="shared" si="0"/>
        <v>47996791</v>
      </c>
      <c r="I71" s="21">
        <f t="shared" si="0"/>
        <v>864856</v>
      </c>
      <c r="J71" s="21">
        <f t="shared" si="0"/>
        <v>166920586</v>
      </c>
      <c r="K71" s="21">
        <f t="shared" si="0"/>
        <v>4016.5818812699999</v>
      </c>
      <c r="L71" s="21">
        <f t="shared" si="0"/>
        <v>577140.34866083006</v>
      </c>
      <c r="M71" s="21">
        <f t="shared" si="0"/>
        <v>860294723</v>
      </c>
      <c r="N71" s="21">
        <f t="shared" si="0"/>
        <v>808909049</v>
      </c>
      <c r="O71" s="21">
        <f t="shared" si="0"/>
        <v>413080303</v>
      </c>
      <c r="P71" s="21">
        <f t="shared" si="0"/>
        <v>2843963.3391044498</v>
      </c>
      <c r="Q71" s="21">
        <f t="shared" si="0"/>
        <v>553508.72963211988</v>
      </c>
    </row>
    <row r="72" spans="2:17" ht="12.75" customHeight="1" x14ac:dyDescent="0.25">
      <c r="B72" s="135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7"/>
    </row>
    <row r="73" spans="2:17" x14ac:dyDescent="0.25">
      <c r="B73" s="12">
        <v>1</v>
      </c>
      <c r="C73" s="132" t="s">
        <v>80</v>
      </c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2:17" x14ac:dyDescent="0.25">
      <c r="B74" s="12">
        <v>2</v>
      </c>
      <c r="C74" s="132" t="s">
        <v>81</v>
      </c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4"/>
    </row>
    <row r="75" spans="2:17" x14ac:dyDescent="0.25">
      <c r="B75" s="12">
        <v>3</v>
      </c>
      <c r="C75" s="132" t="s">
        <v>82</v>
      </c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4"/>
    </row>
    <row r="76" spans="2:17" x14ac:dyDescent="0.25">
      <c r="B76" s="12">
        <v>4</v>
      </c>
      <c r="C76" s="132" t="s">
        <v>83</v>
      </c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4"/>
    </row>
    <row r="77" spans="2:17" ht="12.75" customHeight="1" x14ac:dyDescent="0.25">
      <c r="B77" s="12">
        <v>5</v>
      </c>
      <c r="C77" s="132" t="s">
        <v>84</v>
      </c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4"/>
    </row>
    <row r="78" spans="2:17" ht="12.75" customHeight="1" x14ac:dyDescent="0.25">
      <c r="B78" s="12">
        <v>6</v>
      </c>
      <c r="C78" s="132" t="s">
        <v>85</v>
      </c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4"/>
    </row>
    <row r="79" spans="2:17" ht="12.75" customHeight="1" x14ac:dyDescent="0.25">
      <c r="B79" s="12">
        <v>7</v>
      </c>
      <c r="C79" s="132" t="s">
        <v>86</v>
      </c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4"/>
    </row>
    <row r="80" spans="2:17" ht="12.75" customHeight="1" x14ac:dyDescent="0.25">
      <c r="B80" s="12">
        <v>8</v>
      </c>
      <c r="C80" s="132" t="s">
        <v>87</v>
      </c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4"/>
    </row>
    <row r="81" spans="2:17" ht="12.75" customHeight="1" x14ac:dyDescent="0.25">
      <c r="B81" s="12">
        <v>9</v>
      </c>
      <c r="C81" s="132" t="s">
        <v>88</v>
      </c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4"/>
    </row>
    <row r="82" spans="2:17" ht="12.75" customHeight="1" x14ac:dyDescent="0.25">
      <c r="B82" s="12">
        <v>10</v>
      </c>
      <c r="C82" s="132" t="s">
        <v>89</v>
      </c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2:17" ht="12.75" customHeight="1" x14ac:dyDescent="0.25">
      <c r="B83" s="12">
        <v>11</v>
      </c>
      <c r="C83" s="132" t="s">
        <v>90</v>
      </c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4"/>
    </row>
    <row r="84" spans="2:17" ht="12.75" customHeight="1" x14ac:dyDescent="0.25">
      <c r="B84" s="12">
        <v>12</v>
      </c>
      <c r="C84" s="132" t="s">
        <v>91</v>
      </c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4"/>
    </row>
    <row r="85" spans="2:17" ht="12.75" customHeight="1" x14ac:dyDescent="0.25">
      <c r="B85" s="12">
        <v>13</v>
      </c>
      <c r="C85" s="132" t="s">
        <v>92</v>
      </c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4"/>
    </row>
    <row r="86" spans="2:17" ht="12.75" customHeight="1" x14ac:dyDescent="0.25">
      <c r="B86" s="12">
        <v>14</v>
      </c>
      <c r="C86" s="132" t="s">
        <v>93</v>
      </c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4"/>
    </row>
    <row r="89" spans="2:17" x14ac:dyDescent="0.25">
      <c r="M89" s="16"/>
    </row>
    <row r="92" spans="2:17" x14ac:dyDescent="0.25">
      <c r="M92" s="16"/>
    </row>
  </sheetData>
  <mergeCells count="48">
    <mergeCell ref="AG3:AK3"/>
    <mergeCell ref="X4:X5"/>
    <mergeCell ref="Y4:Y5"/>
    <mergeCell ref="Z4:Z5"/>
    <mergeCell ref="AA4:AA5"/>
    <mergeCell ref="AB4:AB5"/>
    <mergeCell ref="AC4:AD4"/>
    <mergeCell ref="AE4:AF4"/>
    <mergeCell ref="AG4:AG5"/>
    <mergeCell ref="AH4:AI4"/>
    <mergeCell ref="AJ4:AK4"/>
    <mergeCell ref="V3:V6"/>
    <mergeCell ref="W3:W6"/>
    <mergeCell ref="X3:Y3"/>
    <mergeCell ref="Z3:AA3"/>
    <mergeCell ref="AB3:AF3"/>
    <mergeCell ref="C83:Q83"/>
    <mergeCell ref="C84:Q84"/>
    <mergeCell ref="C85:Q85"/>
    <mergeCell ref="C86:Q86"/>
    <mergeCell ref="C77:Q77"/>
    <mergeCell ref="C78:Q78"/>
    <mergeCell ref="C79:Q79"/>
    <mergeCell ref="C80:Q80"/>
    <mergeCell ref="C81:Q81"/>
    <mergeCell ref="C82:Q82"/>
    <mergeCell ref="C76:Q76"/>
    <mergeCell ref="G4:G5"/>
    <mergeCell ref="H4:H5"/>
    <mergeCell ref="I4:J4"/>
    <mergeCell ref="K4:L4"/>
    <mergeCell ref="M4:M5"/>
    <mergeCell ref="N4:O4"/>
    <mergeCell ref="P4:Q4"/>
    <mergeCell ref="B72:Q72"/>
    <mergeCell ref="C73:Q73"/>
    <mergeCell ref="C74:Q74"/>
    <mergeCell ref="C75:Q75"/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</mergeCells>
  <pageMargins left="0.08" right="0.09" top="0.13" bottom="0.12" header="0.02" footer="0.01"/>
  <pageSetup paperSize="9" scale="70" orientation="landscape" r:id="rId1"/>
  <ignoredErrors>
    <ignoredError sqref="D71:Q71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"/>
  <sheetViews>
    <sheetView workbookViewId="0">
      <selection activeCell="F36" sqref="F36"/>
    </sheetView>
  </sheetViews>
  <sheetFormatPr defaultRowHeight="12.5" x14ac:dyDescent="0.25"/>
  <cols>
    <col min="2" max="2" width="32" customWidth="1"/>
    <col min="3" max="3" width="11.54296875" customWidth="1"/>
    <col min="4" max="4" width="14.1796875" customWidth="1"/>
    <col min="12" max="12" width="16.7265625" customWidth="1"/>
    <col min="13" max="13" width="13.1796875" customWidth="1"/>
    <col min="15" max="15" width="14.26953125" customWidth="1"/>
    <col min="16" max="16" width="17.26953125" customWidth="1"/>
  </cols>
  <sheetData>
    <row r="1" spans="1:16" ht="13" x14ac:dyDescent="0.25">
      <c r="A1" s="131" t="s">
        <v>95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6" ht="13" x14ac:dyDescent="0.25">
      <c r="A2" s="148" t="s">
        <v>0</v>
      </c>
      <c r="B2" s="131" t="s">
        <v>1</v>
      </c>
      <c r="C2" s="138" t="s">
        <v>2</v>
      </c>
      <c r="D2" s="153"/>
      <c r="E2" s="138" t="s">
        <v>3</v>
      </c>
      <c r="F2" s="153"/>
      <c r="G2" s="131" t="s">
        <v>4</v>
      </c>
      <c r="H2" s="154"/>
      <c r="I2" s="154"/>
      <c r="J2" s="154"/>
      <c r="K2" s="154"/>
      <c r="L2" s="131" t="s">
        <v>5</v>
      </c>
      <c r="M2" s="154"/>
      <c r="N2" s="154"/>
      <c r="O2" s="154"/>
      <c r="P2" s="154"/>
    </row>
    <row r="3" spans="1:16" x14ac:dyDescent="0.25">
      <c r="A3" s="159"/>
      <c r="B3" s="131"/>
      <c r="C3" s="138" t="s">
        <v>6</v>
      </c>
      <c r="D3" s="138" t="s">
        <v>7</v>
      </c>
      <c r="E3" s="138" t="s">
        <v>8</v>
      </c>
      <c r="F3" s="138" t="s">
        <v>9</v>
      </c>
      <c r="G3" s="138" t="s">
        <v>96</v>
      </c>
      <c r="H3" s="138" t="s">
        <v>11</v>
      </c>
      <c r="I3" s="154"/>
      <c r="J3" s="155" t="s">
        <v>12</v>
      </c>
      <c r="K3" s="156"/>
      <c r="L3" s="138" t="s">
        <v>96</v>
      </c>
      <c r="M3" s="138" t="s">
        <v>13</v>
      </c>
      <c r="N3" s="153"/>
      <c r="O3" s="155" t="s">
        <v>12</v>
      </c>
      <c r="P3" s="156"/>
    </row>
    <row r="4" spans="1:16" ht="13" x14ac:dyDescent="0.25">
      <c r="A4" s="159"/>
      <c r="B4" s="131"/>
      <c r="C4" s="138"/>
      <c r="D4" s="138"/>
      <c r="E4" s="138"/>
      <c r="F4" s="138"/>
      <c r="G4" s="138"/>
      <c r="H4" s="17" t="s">
        <v>14</v>
      </c>
      <c r="I4" s="17" t="s">
        <v>3</v>
      </c>
      <c r="J4" s="1" t="s">
        <v>14</v>
      </c>
      <c r="K4" s="1" t="s">
        <v>3</v>
      </c>
      <c r="L4" s="138"/>
      <c r="M4" s="17" t="s">
        <v>14</v>
      </c>
      <c r="N4" s="17" t="s">
        <v>3</v>
      </c>
      <c r="O4" s="2" t="s">
        <v>14</v>
      </c>
      <c r="P4" s="2" t="s">
        <v>3</v>
      </c>
    </row>
    <row r="5" spans="1:16" ht="13" x14ac:dyDescent="0.25">
      <c r="A5" s="149"/>
      <c r="B5" s="131"/>
      <c r="C5" s="17">
        <v>1</v>
      </c>
      <c r="D5" s="17">
        <v>2</v>
      </c>
      <c r="E5" s="17">
        <v>3</v>
      </c>
      <c r="F5" s="17">
        <v>4</v>
      </c>
      <c r="G5" s="17">
        <v>5</v>
      </c>
      <c r="H5" s="17">
        <v>6</v>
      </c>
      <c r="I5" s="17">
        <v>7</v>
      </c>
      <c r="J5" s="2">
        <v>8</v>
      </c>
      <c r="K5" s="2">
        <v>9</v>
      </c>
      <c r="L5" s="17">
        <v>10</v>
      </c>
      <c r="M5" s="17">
        <v>11</v>
      </c>
      <c r="N5" s="17">
        <v>12</v>
      </c>
      <c r="O5" s="2">
        <v>13</v>
      </c>
      <c r="P5" s="2">
        <v>14</v>
      </c>
    </row>
    <row r="6" spans="1:16" x14ac:dyDescent="0.25">
      <c r="A6" s="3">
        <v>1</v>
      </c>
      <c r="B6" s="4" t="s">
        <v>15</v>
      </c>
      <c r="C6" s="5">
        <v>844</v>
      </c>
      <c r="D6" s="5">
        <v>265</v>
      </c>
      <c r="E6" s="5">
        <v>2690</v>
      </c>
      <c r="F6" s="5">
        <v>0</v>
      </c>
      <c r="G6" s="5">
        <v>0</v>
      </c>
      <c r="H6" s="5">
        <v>0</v>
      </c>
      <c r="I6" s="5">
        <v>0</v>
      </c>
      <c r="J6" s="6">
        <v>0</v>
      </c>
      <c r="K6" s="6">
        <v>0</v>
      </c>
      <c r="L6" s="5">
        <v>12997822</v>
      </c>
      <c r="M6" s="5">
        <v>8240141</v>
      </c>
      <c r="N6" s="5">
        <v>3904263</v>
      </c>
      <c r="O6" s="6">
        <v>20372.243236950002</v>
      </c>
      <c r="P6" s="6">
        <v>2905.1520976799998</v>
      </c>
    </row>
    <row r="7" spans="1:16" x14ac:dyDescent="0.25">
      <c r="A7" s="3">
        <v>2</v>
      </c>
      <c r="B7" s="4" t="s">
        <v>16</v>
      </c>
      <c r="C7" s="5">
        <v>3194</v>
      </c>
      <c r="D7" s="5">
        <v>816</v>
      </c>
      <c r="E7" s="5">
        <v>14442</v>
      </c>
      <c r="F7" s="5">
        <v>0</v>
      </c>
      <c r="G7" s="5">
        <v>236853</v>
      </c>
      <c r="H7" s="5">
        <v>13350</v>
      </c>
      <c r="I7" s="5">
        <v>449151</v>
      </c>
      <c r="J7" s="6">
        <v>65.198112909999992</v>
      </c>
      <c r="K7" s="6">
        <v>1121.0171496600001</v>
      </c>
      <c r="L7" s="5">
        <v>24327998</v>
      </c>
      <c r="M7" s="5">
        <v>8977799</v>
      </c>
      <c r="N7" s="5">
        <v>6006549</v>
      </c>
      <c r="O7" s="6">
        <v>30571.39414</v>
      </c>
      <c r="P7" s="6">
        <v>7871.3</v>
      </c>
    </row>
    <row r="8" spans="1:16" x14ac:dyDescent="0.25">
      <c r="A8" s="3">
        <v>3</v>
      </c>
      <c r="B8" s="4" t="s">
        <v>17</v>
      </c>
      <c r="C8" s="5">
        <v>3428</v>
      </c>
      <c r="D8" s="5">
        <v>4918</v>
      </c>
      <c r="E8" s="5">
        <v>74383</v>
      </c>
      <c r="F8" s="5">
        <v>0</v>
      </c>
      <c r="G8" s="5">
        <v>126884</v>
      </c>
      <c r="H8" s="5">
        <v>5411</v>
      </c>
      <c r="I8" s="5">
        <v>332833</v>
      </c>
      <c r="J8" s="6">
        <v>21.090847610000001</v>
      </c>
      <c r="K8" s="6">
        <v>815.96410775000004</v>
      </c>
      <c r="L8" s="5">
        <v>52549602</v>
      </c>
      <c r="M8" s="5">
        <v>18711724</v>
      </c>
      <c r="N8" s="5">
        <v>13724789</v>
      </c>
      <c r="O8" s="6">
        <v>81694.049961309996</v>
      </c>
      <c r="P8" s="6">
        <v>12855.201977129998</v>
      </c>
    </row>
    <row r="9" spans="1:16" x14ac:dyDescent="0.25">
      <c r="A9" s="3">
        <v>4</v>
      </c>
      <c r="B9" s="4" t="s">
        <v>18</v>
      </c>
      <c r="C9" s="5">
        <v>3328</v>
      </c>
      <c r="D9" s="5">
        <v>4095</v>
      </c>
      <c r="E9" s="5">
        <v>95624</v>
      </c>
      <c r="F9" s="5">
        <v>0</v>
      </c>
      <c r="G9" s="5">
        <v>209908</v>
      </c>
      <c r="H9" s="5">
        <v>25510</v>
      </c>
      <c r="I9" s="5">
        <v>311259</v>
      </c>
      <c r="J9" s="6">
        <v>139.6881281</v>
      </c>
      <c r="K9" s="6">
        <v>848.93253047000007</v>
      </c>
      <c r="L9" s="5">
        <v>53480940</v>
      </c>
      <c r="M9" s="5">
        <v>30631122</v>
      </c>
      <c r="N9" s="5">
        <v>10575267</v>
      </c>
      <c r="O9" s="6">
        <v>69929.61648112</v>
      </c>
      <c r="P9" s="6">
        <v>9539.9268873900019</v>
      </c>
    </row>
    <row r="10" spans="1:16" x14ac:dyDescent="0.25">
      <c r="A10" s="3">
        <v>5</v>
      </c>
      <c r="B10" s="4" t="s">
        <v>19</v>
      </c>
      <c r="C10" s="5">
        <v>1305</v>
      </c>
      <c r="D10" s="5">
        <v>559</v>
      </c>
      <c r="E10" s="5">
        <v>3390</v>
      </c>
      <c r="F10" s="5">
        <v>0</v>
      </c>
      <c r="G10" s="5">
        <v>0</v>
      </c>
      <c r="H10" s="5">
        <v>0</v>
      </c>
      <c r="I10" s="5">
        <v>0</v>
      </c>
      <c r="J10" s="6">
        <v>0</v>
      </c>
      <c r="K10" s="6">
        <v>0</v>
      </c>
      <c r="L10" s="5">
        <v>6655616</v>
      </c>
      <c r="M10" s="5">
        <v>6643504</v>
      </c>
      <c r="N10" s="5">
        <v>3856733</v>
      </c>
      <c r="O10" s="6">
        <v>24883.883351650002</v>
      </c>
      <c r="P10" s="6">
        <v>4357.0583841600001</v>
      </c>
    </row>
    <row r="11" spans="1:16" x14ac:dyDescent="0.25">
      <c r="A11" s="3">
        <v>6</v>
      </c>
      <c r="B11" s="4" t="s">
        <v>20</v>
      </c>
      <c r="C11" s="5">
        <v>5082</v>
      </c>
      <c r="D11" s="5">
        <v>4248</v>
      </c>
      <c r="E11" s="5">
        <v>18730</v>
      </c>
      <c r="F11" s="5">
        <v>0</v>
      </c>
      <c r="G11" s="5">
        <v>223048</v>
      </c>
      <c r="H11" s="5">
        <v>31899</v>
      </c>
      <c r="I11" s="5">
        <v>447057</v>
      </c>
      <c r="J11" s="6">
        <v>160.63663574</v>
      </c>
      <c r="K11" s="6">
        <v>1001.4198389200001</v>
      </c>
      <c r="L11" s="5">
        <v>43963920</v>
      </c>
      <c r="M11" s="5">
        <v>21247077</v>
      </c>
      <c r="N11" s="5">
        <v>9594374</v>
      </c>
      <c r="O11" s="6">
        <v>90743.181060209987</v>
      </c>
      <c r="P11" s="6">
        <v>13474.50745049</v>
      </c>
    </row>
    <row r="12" spans="1:16" x14ac:dyDescent="0.25">
      <c r="A12" s="3">
        <v>7</v>
      </c>
      <c r="B12" s="4" t="s">
        <v>21</v>
      </c>
      <c r="C12" s="5">
        <v>3426</v>
      </c>
      <c r="D12" s="5">
        <v>1463</v>
      </c>
      <c r="E12" s="5">
        <v>3669</v>
      </c>
      <c r="F12" s="5">
        <v>0</v>
      </c>
      <c r="G12" s="5">
        <v>101808</v>
      </c>
      <c r="H12" s="5">
        <v>2471</v>
      </c>
      <c r="I12" s="5">
        <v>160891</v>
      </c>
      <c r="J12" s="6">
        <v>11.01978422</v>
      </c>
      <c r="K12" s="6">
        <v>365.06232647000002</v>
      </c>
      <c r="L12" s="5">
        <v>29455083</v>
      </c>
      <c r="M12" s="5">
        <v>11222752</v>
      </c>
      <c r="N12" s="5">
        <v>4758352</v>
      </c>
      <c r="O12" s="6">
        <v>48487.036828999997</v>
      </c>
      <c r="P12" s="6">
        <v>6253.5093382499999</v>
      </c>
    </row>
    <row r="13" spans="1:16" x14ac:dyDescent="0.25">
      <c r="A13" s="3">
        <v>8</v>
      </c>
      <c r="B13" s="4" t="s">
        <v>22</v>
      </c>
      <c r="C13" s="5">
        <v>2355</v>
      </c>
      <c r="D13" s="5">
        <v>751</v>
      </c>
      <c r="E13" s="5">
        <v>167758</v>
      </c>
      <c r="F13" s="5">
        <v>0</v>
      </c>
      <c r="G13" s="5">
        <v>106378</v>
      </c>
      <c r="H13" s="5">
        <v>2000</v>
      </c>
      <c r="I13" s="5">
        <v>148165</v>
      </c>
      <c r="J13" s="6">
        <v>9.4736761999999999</v>
      </c>
      <c r="K13" s="6">
        <v>370.40723220000007</v>
      </c>
      <c r="L13" s="5">
        <v>12620620</v>
      </c>
      <c r="M13" s="5">
        <v>7012069</v>
      </c>
      <c r="N13" s="5">
        <v>3465651</v>
      </c>
      <c r="O13" s="6">
        <v>29139.957352810001</v>
      </c>
      <c r="P13" s="6">
        <v>4263.15175447</v>
      </c>
    </row>
    <row r="14" spans="1:16" x14ac:dyDescent="0.25">
      <c r="A14" s="3">
        <v>9</v>
      </c>
      <c r="B14" s="4" t="s">
        <v>97</v>
      </c>
      <c r="C14" s="5">
        <v>351</v>
      </c>
      <c r="D14" s="5">
        <v>1334</v>
      </c>
      <c r="E14" s="5">
        <v>4899</v>
      </c>
      <c r="F14" s="5">
        <v>0</v>
      </c>
      <c r="G14" s="5">
        <v>0</v>
      </c>
      <c r="H14" s="5">
        <v>0</v>
      </c>
      <c r="I14" s="5">
        <v>0</v>
      </c>
      <c r="J14" s="6">
        <v>0</v>
      </c>
      <c r="K14" s="6">
        <v>0</v>
      </c>
      <c r="L14" s="5">
        <v>8871193</v>
      </c>
      <c r="M14" s="5">
        <v>4138929</v>
      </c>
      <c r="N14" s="5">
        <v>1630592</v>
      </c>
      <c r="O14" s="6">
        <v>17002.39862244</v>
      </c>
      <c r="P14" s="6">
        <v>2149.7285320200003</v>
      </c>
    </row>
    <row r="15" spans="1:16" x14ac:dyDescent="0.25">
      <c r="A15" s="3">
        <v>10</v>
      </c>
      <c r="B15" s="4" t="s">
        <v>23</v>
      </c>
      <c r="C15" s="5">
        <v>2717</v>
      </c>
      <c r="D15" s="5">
        <v>647</v>
      </c>
      <c r="E15" s="5">
        <v>11242</v>
      </c>
      <c r="F15" s="5">
        <v>0</v>
      </c>
      <c r="G15" s="5">
        <v>85215</v>
      </c>
      <c r="H15" s="5">
        <v>2890</v>
      </c>
      <c r="I15" s="5">
        <v>143732</v>
      </c>
      <c r="J15" s="6">
        <v>16.2</v>
      </c>
      <c r="K15" s="6">
        <v>324.5</v>
      </c>
      <c r="L15" s="5">
        <v>18410002</v>
      </c>
      <c r="M15" s="5">
        <v>28955265</v>
      </c>
      <c r="N15" s="5">
        <v>5500367</v>
      </c>
      <c r="O15" s="6">
        <v>70803.7</v>
      </c>
      <c r="P15" s="6">
        <v>6134.4</v>
      </c>
    </row>
    <row r="16" spans="1:16" x14ac:dyDescent="0.25">
      <c r="A16" s="3">
        <v>11</v>
      </c>
      <c r="B16" s="4" t="s">
        <v>24</v>
      </c>
      <c r="C16" s="5">
        <v>2238</v>
      </c>
      <c r="D16" s="5">
        <v>755</v>
      </c>
      <c r="E16" s="5">
        <v>16192</v>
      </c>
      <c r="F16" s="5">
        <v>0</v>
      </c>
      <c r="G16" s="5">
        <v>53172</v>
      </c>
      <c r="H16" s="5">
        <v>854</v>
      </c>
      <c r="I16" s="5">
        <v>101468</v>
      </c>
      <c r="J16" s="6">
        <v>3.044276</v>
      </c>
      <c r="K16" s="6">
        <v>245.189708</v>
      </c>
      <c r="L16" s="5">
        <v>18249398</v>
      </c>
      <c r="M16" s="5">
        <v>10821667</v>
      </c>
      <c r="N16" s="5">
        <v>4217806</v>
      </c>
      <c r="O16" s="6">
        <v>42746.436199999996</v>
      </c>
      <c r="P16" s="6">
        <v>5606.1768110000003</v>
      </c>
    </row>
    <row r="17" spans="1:16" x14ac:dyDescent="0.25">
      <c r="A17" s="3">
        <v>12</v>
      </c>
      <c r="B17" s="4" t="s">
        <v>25</v>
      </c>
      <c r="C17" s="5">
        <v>2336</v>
      </c>
      <c r="D17" s="5">
        <v>299</v>
      </c>
      <c r="E17" s="5">
        <v>8114</v>
      </c>
      <c r="F17" s="5">
        <v>0</v>
      </c>
      <c r="G17" s="5">
        <v>0</v>
      </c>
      <c r="H17" s="5">
        <v>0</v>
      </c>
      <c r="I17" s="5">
        <v>0</v>
      </c>
      <c r="J17" s="6">
        <v>0</v>
      </c>
      <c r="K17" s="6">
        <v>0</v>
      </c>
      <c r="L17" s="5">
        <v>11574359</v>
      </c>
      <c r="M17" s="5">
        <v>4970953</v>
      </c>
      <c r="N17" s="5">
        <v>2764689</v>
      </c>
      <c r="O17" s="6">
        <v>22225.612280000001</v>
      </c>
      <c r="P17" s="6">
        <v>3365.50684</v>
      </c>
    </row>
    <row r="18" spans="1:16" x14ac:dyDescent="0.25">
      <c r="A18" s="3">
        <v>13</v>
      </c>
      <c r="B18" s="4" t="s">
        <v>26</v>
      </c>
      <c r="C18" s="5">
        <v>1077</v>
      </c>
      <c r="D18" s="5">
        <v>129</v>
      </c>
      <c r="E18" s="5">
        <v>867</v>
      </c>
      <c r="F18" s="5">
        <v>0</v>
      </c>
      <c r="G18" s="5">
        <v>0</v>
      </c>
      <c r="H18" s="5">
        <v>0</v>
      </c>
      <c r="I18" s="5">
        <v>0</v>
      </c>
      <c r="J18" s="6">
        <v>0</v>
      </c>
      <c r="K18" s="6">
        <v>0</v>
      </c>
      <c r="L18" s="5">
        <v>2847602</v>
      </c>
      <c r="M18" s="5">
        <v>1159262</v>
      </c>
      <c r="N18" s="5">
        <v>361191</v>
      </c>
      <c r="O18" s="6">
        <v>4928.0072440000004</v>
      </c>
      <c r="P18" s="6">
        <v>566.68785400000002</v>
      </c>
    </row>
    <row r="19" spans="1:16" x14ac:dyDescent="0.25">
      <c r="A19" s="3">
        <v>14</v>
      </c>
      <c r="B19" s="4" t="s">
        <v>27</v>
      </c>
      <c r="C19" s="5">
        <v>5424</v>
      </c>
      <c r="D19" s="5">
        <v>4245</v>
      </c>
      <c r="E19" s="5">
        <v>51303</v>
      </c>
      <c r="F19" s="5">
        <v>0</v>
      </c>
      <c r="G19" s="5">
        <v>323477</v>
      </c>
      <c r="H19" s="5">
        <v>7915</v>
      </c>
      <c r="I19" s="5">
        <v>622970</v>
      </c>
      <c r="J19" s="6">
        <v>33.283829260000005</v>
      </c>
      <c r="K19" s="6">
        <v>1375.7339917699999</v>
      </c>
      <c r="L19" s="5">
        <v>62381030</v>
      </c>
      <c r="M19" s="5">
        <v>22539816</v>
      </c>
      <c r="N19" s="5">
        <v>12356094</v>
      </c>
      <c r="O19" s="6">
        <v>103429.44941928</v>
      </c>
      <c r="P19" s="6">
        <v>16581.538336090001</v>
      </c>
    </row>
    <row r="20" spans="1:16" x14ac:dyDescent="0.25">
      <c r="A20" s="3">
        <v>15</v>
      </c>
      <c r="B20" s="4" t="s">
        <v>28</v>
      </c>
      <c r="C20" s="5">
        <v>3880</v>
      </c>
      <c r="D20" s="5">
        <v>398</v>
      </c>
      <c r="E20" s="5">
        <v>8033</v>
      </c>
      <c r="F20" s="5">
        <v>0</v>
      </c>
      <c r="G20" s="5">
        <v>85050</v>
      </c>
      <c r="H20" s="5">
        <v>3405</v>
      </c>
      <c r="I20" s="5">
        <v>153602</v>
      </c>
      <c r="J20" s="6">
        <v>11.485595679999999</v>
      </c>
      <c r="K20" s="6">
        <v>351.0193635</v>
      </c>
      <c r="L20" s="5">
        <v>16143972</v>
      </c>
      <c r="M20" s="5">
        <v>8275343</v>
      </c>
      <c r="N20" s="5">
        <v>4012896</v>
      </c>
      <c r="O20" s="6">
        <v>32874.429077000001</v>
      </c>
      <c r="P20" s="6">
        <v>4863.2305420000002</v>
      </c>
    </row>
    <row r="21" spans="1:16" x14ac:dyDescent="0.25">
      <c r="A21" s="3">
        <v>16</v>
      </c>
      <c r="B21" s="4" t="s">
        <v>29</v>
      </c>
      <c r="C21" s="5">
        <v>2143</v>
      </c>
      <c r="D21" s="5">
        <v>431</v>
      </c>
      <c r="E21" s="5">
        <v>5294</v>
      </c>
      <c r="F21" s="5">
        <v>0</v>
      </c>
      <c r="G21" s="5">
        <v>0</v>
      </c>
      <c r="H21" s="5">
        <v>0</v>
      </c>
      <c r="I21" s="5">
        <v>0</v>
      </c>
      <c r="J21" s="6">
        <v>0</v>
      </c>
      <c r="K21" s="6">
        <v>0</v>
      </c>
      <c r="L21" s="5">
        <v>10490655</v>
      </c>
      <c r="M21" s="5">
        <v>5216929</v>
      </c>
      <c r="N21" s="5">
        <v>2294830</v>
      </c>
      <c r="O21" s="6">
        <v>20874.672485999999</v>
      </c>
      <c r="P21" s="6">
        <v>3193.5899380000001</v>
      </c>
    </row>
    <row r="22" spans="1:16" x14ac:dyDescent="0.25">
      <c r="A22" s="3">
        <v>17</v>
      </c>
      <c r="B22" s="4" t="s">
        <v>30</v>
      </c>
      <c r="C22" s="5">
        <v>4545</v>
      </c>
      <c r="D22" s="5">
        <v>3099</v>
      </c>
      <c r="E22" s="5">
        <v>56820</v>
      </c>
      <c r="F22" s="5">
        <v>0</v>
      </c>
      <c r="G22" s="5">
        <v>200004</v>
      </c>
      <c r="H22" s="5">
        <v>3670</v>
      </c>
      <c r="I22" s="5">
        <v>193453</v>
      </c>
      <c r="J22" s="6">
        <v>18.063345590000001</v>
      </c>
      <c r="K22" s="6">
        <v>525.00841686000001</v>
      </c>
      <c r="L22" s="5">
        <v>22530851</v>
      </c>
      <c r="M22" s="5">
        <v>24199296</v>
      </c>
      <c r="N22" s="5">
        <v>6326398</v>
      </c>
      <c r="O22" s="6">
        <v>77098.020136000006</v>
      </c>
      <c r="P22" s="6">
        <v>7803.76190993</v>
      </c>
    </row>
    <row r="23" spans="1:16" x14ac:dyDescent="0.25">
      <c r="A23" s="3">
        <v>18</v>
      </c>
      <c r="B23" s="4" t="s">
        <v>31</v>
      </c>
      <c r="C23" s="5">
        <v>1037</v>
      </c>
      <c r="D23" s="5">
        <v>1103</v>
      </c>
      <c r="E23" s="5">
        <v>3879</v>
      </c>
      <c r="F23" s="5">
        <v>0</v>
      </c>
      <c r="G23" s="5">
        <v>3775</v>
      </c>
      <c r="H23" s="5">
        <v>0</v>
      </c>
      <c r="I23" s="5">
        <v>2207</v>
      </c>
      <c r="J23" s="6">
        <v>0</v>
      </c>
      <c r="K23" s="6">
        <v>4.2094660800000003</v>
      </c>
      <c r="L23" s="5">
        <v>10842652</v>
      </c>
      <c r="M23" s="5">
        <v>6749839</v>
      </c>
      <c r="N23" s="5">
        <v>1690005</v>
      </c>
      <c r="O23" s="6">
        <v>25958.571356</v>
      </c>
      <c r="P23" s="6">
        <v>2311.1016979999999</v>
      </c>
    </row>
    <row r="24" spans="1:16" x14ac:dyDescent="0.25">
      <c r="A24" s="3">
        <v>19</v>
      </c>
      <c r="B24" s="4" t="s">
        <v>98</v>
      </c>
      <c r="C24" s="5">
        <v>1672</v>
      </c>
      <c r="D24" s="5">
        <v>490</v>
      </c>
      <c r="E24" s="5">
        <v>7070</v>
      </c>
      <c r="F24" s="5">
        <v>0</v>
      </c>
      <c r="G24" s="5">
        <v>60837</v>
      </c>
      <c r="H24" s="5">
        <v>9938</v>
      </c>
      <c r="I24" s="5">
        <v>190006</v>
      </c>
      <c r="J24" s="6">
        <v>47.824913639999998</v>
      </c>
      <c r="K24" s="6">
        <v>307.72579123000003</v>
      </c>
      <c r="L24" s="5">
        <v>6503641</v>
      </c>
      <c r="M24" s="5">
        <v>5716150</v>
      </c>
      <c r="N24" s="5">
        <v>1892729</v>
      </c>
      <c r="O24" s="6">
        <v>18629.100988999999</v>
      </c>
      <c r="P24" s="6">
        <v>2940.5162559999999</v>
      </c>
    </row>
    <row r="25" spans="1:16" x14ac:dyDescent="0.25">
      <c r="A25" s="3">
        <v>20</v>
      </c>
      <c r="B25" s="4" t="s">
        <v>32</v>
      </c>
      <c r="C25" s="5">
        <v>2199</v>
      </c>
      <c r="D25" s="5">
        <v>1569</v>
      </c>
      <c r="E25" s="5">
        <v>29741</v>
      </c>
      <c r="F25" s="5">
        <v>0</v>
      </c>
      <c r="G25" s="5">
        <v>28131</v>
      </c>
      <c r="H25" s="5">
        <v>802</v>
      </c>
      <c r="I25" s="5">
        <v>150176</v>
      </c>
      <c r="J25" s="6">
        <v>3.8865793599999998</v>
      </c>
      <c r="K25" s="6">
        <v>342.47948167999999</v>
      </c>
      <c r="L25" s="5">
        <v>11441262</v>
      </c>
      <c r="M25" s="5">
        <v>8872007</v>
      </c>
      <c r="N25" s="5">
        <v>6520414</v>
      </c>
      <c r="O25" s="6">
        <v>39353.657273570003</v>
      </c>
      <c r="P25" s="6">
        <v>7124.7857290099992</v>
      </c>
    </row>
    <row r="26" spans="1:16" x14ac:dyDescent="0.25">
      <c r="A26" s="3">
        <v>21</v>
      </c>
      <c r="B26" s="4" t="s">
        <v>33</v>
      </c>
      <c r="C26" s="5">
        <v>26343</v>
      </c>
      <c r="D26" s="5">
        <v>32949</v>
      </c>
      <c r="E26" s="5">
        <v>613877</v>
      </c>
      <c r="F26" s="5">
        <v>0</v>
      </c>
      <c r="G26" s="5">
        <v>6357785</v>
      </c>
      <c r="H26" s="5">
        <v>129941</v>
      </c>
      <c r="I26" s="5">
        <v>21245813</v>
      </c>
      <c r="J26" s="6">
        <v>511.29023599999999</v>
      </c>
      <c r="K26" s="6">
        <v>75460.646885180002</v>
      </c>
      <c r="L26" s="5">
        <v>279796198</v>
      </c>
      <c r="M26" s="5">
        <v>362428635</v>
      </c>
      <c r="N26" s="5">
        <v>94602321</v>
      </c>
      <c r="O26" s="6">
        <v>1065905.2464041798</v>
      </c>
      <c r="P26" s="6">
        <v>139835.28102996</v>
      </c>
    </row>
    <row r="27" spans="1:16" x14ac:dyDescent="0.25">
      <c r="A27" s="3">
        <v>22</v>
      </c>
      <c r="B27" s="4" t="s">
        <v>34</v>
      </c>
      <c r="C27" s="5">
        <v>2596</v>
      </c>
      <c r="D27" s="5">
        <v>11053</v>
      </c>
      <c r="E27" s="5">
        <v>505153</v>
      </c>
      <c r="F27" s="5">
        <v>0</v>
      </c>
      <c r="G27" s="5">
        <v>4524738</v>
      </c>
      <c r="H27" s="5">
        <v>82593</v>
      </c>
      <c r="I27" s="5">
        <v>12274499</v>
      </c>
      <c r="J27" s="6">
        <v>340.20783699999998</v>
      </c>
      <c r="K27" s="6">
        <v>46410.75316</v>
      </c>
      <c r="L27" s="5">
        <v>22613799</v>
      </c>
      <c r="M27" s="5">
        <v>26267982</v>
      </c>
      <c r="N27" s="5">
        <v>22224131</v>
      </c>
      <c r="O27" s="6">
        <v>127303.1520623</v>
      </c>
      <c r="P27" s="6">
        <v>32863.875194392342</v>
      </c>
    </row>
    <row r="28" spans="1:16" x14ac:dyDescent="0.25">
      <c r="A28" s="3">
        <v>23</v>
      </c>
      <c r="B28" s="4" t="s">
        <v>35</v>
      </c>
      <c r="C28" s="5">
        <v>472</v>
      </c>
      <c r="D28" s="5">
        <v>0</v>
      </c>
      <c r="E28" s="5">
        <v>21948</v>
      </c>
      <c r="F28" s="5">
        <v>0</v>
      </c>
      <c r="G28" s="5">
        <v>0</v>
      </c>
      <c r="H28" s="5">
        <v>0</v>
      </c>
      <c r="I28" s="5">
        <v>0</v>
      </c>
      <c r="J28" s="6">
        <v>0</v>
      </c>
      <c r="K28" s="6">
        <v>0</v>
      </c>
      <c r="L28" s="5">
        <v>10624144</v>
      </c>
      <c r="M28" s="5">
        <v>4124037</v>
      </c>
      <c r="N28" s="5">
        <v>596324</v>
      </c>
      <c r="O28" s="6">
        <v>12652.275331999999</v>
      </c>
      <c r="P28" s="6">
        <v>943.40077623000047</v>
      </c>
    </row>
    <row r="29" spans="1:16" x14ac:dyDescent="0.25">
      <c r="A29" s="3">
        <v>24</v>
      </c>
      <c r="B29" s="4" t="s">
        <v>36</v>
      </c>
      <c r="C29" s="5">
        <v>212</v>
      </c>
      <c r="D29" s="5">
        <v>43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6">
        <v>0</v>
      </c>
      <c r="K29" s="6">
        <v>0</v>
      </c>
      <c r="L29" s="5">
        <v>1094848</v>
      </c>
      <c r="M29" s="5">
        <v>557752</v>
      </c>
      <c r="N29" s="5">
        <v>153109</v>
      </c>
      <c r="O29" s="6">
        <v>1807.0923721400002</v>
      </c>
      <c r="P29" s="6">
        <v>280.47587781999999</v>
      </c>
    </row>
    <row r="30" spans="1:16" x14ac:dyDescent="0.25">
      <c r="A30" s="3">
        <v>25</v>
      </c>
      <c r="B30" s="4" t="s">
        <v>37</v>
      </c>
      <c r="C30" s="5">
        <v>923</v>
      </c>
      <c r="D30" s="5">
        <v>706</v>
      </c>
      <c r="E30" s="5">
        <v>9911</v>
      </c>
      <c r="F30" s="5">
        <v>0</v>
      </c>
      <c r="G30" s="5">
        <v>5174</v>
      </c>
      <c r="H30" s="5">
        <v>526</v>
      </c>
      <c r="I30" s="5">
        <v>17370</v>
      </c>
      <c r="J30" s="6">
        <v>2.3601999999999999</v>
      </c>
      <c r="K30" s="6">
        <v>49.126318789999999</v>
      </c>
      <c r="L30" s="5">
        <v>1791188</v>
      </c>
      <c r="M30" s="5">
        <v>2127696</v>
      </c>
      <c r="N30" s="5">
        <v>730793</v>
      </c>
      <c r="O30" s="6">
        <v>9410.8920486100014</v>
      </c>
      <c r="P30" s="6">
        <v>954.30386682000005</v>
      </c>
    </row>
    <row r="31" spans="1:16" x14ac:dyDescent="0.25">
      <c r="A31" s="3">
        <v>26</v>
      </c>
      <c r="B31" s="4" t="s">
        <v>99</v>
      </c>
      <c r="C31" s="5">
        <v>281</v>
      </c>
      <c r="D31" s="5">
        <v>253</v>
      </c>
      <c r="E31" s="5">
        <v>1558</v>
      </c>
      <c r="F31" s="5">
        <v>0</v>
      </c>
      <c r="G31" s="5">
        <v>31686</v>
      </c>
      <c r="H31" s="5">
        <v>3225</v>
      </c>
      <c r="I31" s="5">
        <v>68521</v>
      </c>
      <c r="J31" s="6">
        <v>16.892085000000002</v>
      </c>
      <c r="K31" s="6">
        <v>62.605263999999998</v>
      </c>
      <c r="L31" s="5">
        <v>561779</v>
      </c>
      <c r="M31" s="5">
        <v>784369</v>
      </c>
      <c r="N31" s="5">
        <v>299488</v>
      </c>
      <c r="O31" s="6">
        <v>2298.8923070000001</v>
      </c>
      <c r="P31" s="6">
        <v>588.05544399999997</v>
      </c>
    </row>
    <row r="32" spans="1:16" x14ac:dyDescent="0.25">
      <c r="A32" s="3">
        <v>27</v>
      </c>
      <c r="B32" s="4" t="s">
        <v>39</v>
      </c>
      <c r="C32" s="5">
        <v>203</v>
      </c>
      <c r="D32" s="5">
        <v>143</v>
      </c>
      <c r="E32" s="5">
        <v>1074</v>
      </c>
      <c r="F32" s="5">
        <v>0</v>
      </c>
      <c r="G32" s="5">
        <v>7581</v>
      </c>
      <c r="H32" s="5">
        <v>93</v>
      </c>
      <c r="I32" s="5">
        <v>16147</v>
      </c>
      <c r="J32" s="6">
        <v>0.37540000000000001</v>
      </c>
      <c r="K32" s="6">
        <v>33.323340999999999</v>
      </c>
      <c r="L32" s="5">
        <v>624288</v>
      </c>
      <c r="M32" s="5">
        <v>552282</v>
      </c>
      <c r="N32" s="5">
        <v>213666</v>
      </c>
      <c r="O32" s="6">
        <v>1888.92605</v>
      </c>
      <c r="P32" s="6">
        <v>338.08599800000002</v>
      </c>
    </row>
    <row r="33" spans="1:16" x14ac:dyDescent="0.25">
      <c r="A33" s="3">
        <v>28</v>
      </c>
      <c r="B33" s="4" t="s">
        <v>40</v>
      </c>
      <c r="C33" s="5">
        <v>1194</v>
      </c>
      <c r="D33" s="5">
        <v>504</v>
      </c>
      <c r="E33" s="5">
        <v>11209</v>
      </c>
      <c r="F33" s="5">
        <v>0</v>
      </c>
      <c r="G33" s="5">
        <v>0</v>
      </c>
      <c r="H33" s="5">
        <v>0</v>
      </c>
      <c r="I33" s="5">
        <v>0</v>
      </c>
      <c r="J33" s="6">
        <v>0</v>
      </c>
      <c r="K33" s="6">
        <v>0</v>
      </c>
      <c r="L33" s="5">
        <v>6645047</v>
      </c>
      <c r="M33" s="5">
        <v>6237891</v>
      </c>
      <c r="N33" s="5">
        <v>2985135</v>
      </c>
      <c r="O33" s="6">
        <v>32405.845656319998</v>
      </c>
      <c r="P33" s="6">
        <v>4653.887739419999</v>
      </c>
    </row>
    <row r="34" spans="1:16" x14ac:dyDescent="0.25">
      <c r="A34" s="3">
        <v>29</v>
      </c>
      <c r="B34" s="4" t="s">
        <v>41</v>
      </c>
      <c r="C34" s="5">
        <v>5874</v>
      </c>
      <c r="D34" s="5">
        <v>6764</v>
      </c>
      <c r="E34" s="5">
        <v>408770</v>
      </c>
      <c r="F34" s="5">
        <v>0</v>
      </c>
      <c r="G34" s="5">
        <v>10794694</v>
      </c>
      <c r="H34" s="5">
        <v>173027</v>
      </c>
      <c r="I34" s="5">
        <v>36781856</v>
      </c>
      <c r="J34" s="6">
        <v>932.99281070000006</v>
      </c>
      <c r="K34" s="6">
        <v>122059.993801</v>
      </c>
      <c r="L34" s="5">
        <v>24537320</v>
      </c>
      <c r="M34" s="5">
        <v>33090783</v>
      </c>
      <c r="N34" s="5">
        <v>39690646</v>
      </c>
      <c r="O34" s="6">
        <v>171070.21476377003</v>
      </c>
      <c r="P34" s="6">
        <v>56155.270790000002</v>
      </c>
    </row>
    <row r="35" spans="1:16" x14ac:dyDescent="0.25">
      <c r="A35" s="3">
        <v>30</v>
      </c>
      <c r="B35" s="4" t="s">
        <v>42</v>
      </c>
      <c r="C35" s="5">
        <v>5244</v>
      </c>
      <c r="D35" s="5">
        <v>9135</v>
      </c>
      <c r="E35" s="5">
        <v>329108</v>
      </c>
      <c r="F35" s="5">
        <v>0</v>
      </c>
      <c r="G35" s="5">
        <v>5030900</v>
      </c>
      <c r="H35" s="5">
        <v>38648</v>
      </c>
      <c r="I35" s="5">
        <v>18457317</v>
      </c>
      <c r="J35" s="6">
        <v>135.847972</v>
      </c>
      <c r="K35" s="6">
        <v>53334.154515000002</v>
      </c>
      <c r="L35" s="5">
        <v>41993787</v>
      </c>
      <c r="M35" s="5">
        <v>31609175</v>
      </c>
      <c r="N35" s="5">
        <v>36441706</v>
      </c>
      <c r="O35" s="6">
        <v>161324.621683</v>
      </c>
      <c r="P35" s="6">
        <v>52894.216675999996</v>
      </c>
    </row>
    <row r="36" spans="1:16" x14ac:dyDescent="0.25">
      <c r="A36" s="3">
        <v>31</v>
      </c>
      <c r="B36" s="4" t="s">
        <v>43</v>
      </c>
      <c r="C36" s="5">
        <v>53</v>
      </c>
      <c r="D36" s="5">
        <v>2</v>
      </c>
      <c r="E36" s="5">
        <v>1640</v>
      </c>
      <c r="F36" s="5">
        <v>0</v>
      </c>
      <c r="G36" s="5">
        <v>0</v>
      </c>
      <c r="H36" s="5">
        <v>0</v>
      </c>
      <c r="I36" s="5">
        <v>0</v>
      </c>
      <c r="J36" s="6">
        <v>0</v>
      </c>
      <c r="K36" s="6">
        <v>0</v>
      </c>
      <c r="L36" s="5">
        <v>943946</v>
      </c>
      <c r="M36" s="5">
        <v>1551640</v>
      </c>
      <c r="N36" s="5">
        <v>780981</v>
      </c>
      <c r="O36" s="6">
        <v>5394.3756129499998</v>
      </c>
      <c r="P36" s="6">
        <v>661.57491075999997</v>
      </c>
    </row>
    <row r="37" spans="1:16" x14ac:dyDescent="0.25">
      <c r="A37" s="3">
        <v>32</v>
      </c>
      <c r="B37" s="4" t="s">
        <v>44</v>
      </c>
      <c r="C37" s="5">
        <v>986</v>
      </c>
      <c r="D37" s="5">
        <v>1236</v>
      </c>
      <c r="E37" s="5">
        <v>35064</v>
      </c>
      <c r="F37" s="5">
        <v>0</v>
      </c>
      <c r="G37" s="5">
        <v>801948</v>
      </c>
      <c r="H37" s="5">
        <v>14369</v>
      </c>
      <c r="I37" s="5">
        <v>2586264</v>
      </c>
      <c r="J37" s="6">
        <v>73.729114890000005</v>
      </c>
      <c r="K37" s="6">
        <v>16416.65319927</v>
      </c>
      <c r="L37" s="5">
        <v>3888438</v>
      </c>
      <c r="M37" s="5">
        <v>2795922</v>
      </c>
      <c r="N37" s="5">
        <v>2136471</v>
      </c>
      <c r="O37" s="6">
        <v>13353.995940430001</v>
      </c>
      <c r="P37" s="6">
        <v>3360.4790384299999</v>
      </c>
    </row>
    <row r="38" spans="1:16" x14ac:dyDescent="0.25">
      <c r="A38" s="3">
        <v>33</v>
      </c>
      <c r="B38" s="4" t="s">
        <v>45</v>
      </c>
      <c r="C38" s="5">
        <v>685</v>
      </c>
      <c r="D38" s="5">
        <v>517</v>
      </c>
      <c r="E38" s="5">
        <v>14833</v>
      </c>
      <c r="F38" s="5">
        <v>0</v>
      </c>
      <c r="G38" s="5">
        <v>129822</v>
      </c>
      <c r="H38" s="5">
        <v>8464</v>
      </c>
      <c r="I38" s="5">
        <v>200006</v>
      </c>
      <c r="J38" s="6">
        <v>26.883421999999999</v>
      </c>
      <c r="K38" s="6">
        <v>749.03686000000005</v>
      </c>
      <c r="L38" s="5">
        <v>3779314</v>
      </c>
      <c r="M38" s="5">
        <v>5330626</v>
      </c>
      <c r="N38" s="5">
        <v>108195</v>
      </c>
      <c r="O38" s="6">
        <v>24381.071397</v>
      </c>
      <c r="P38" s="6">
        <v>305.48077599999999</v>
      </c>
    </row>
    <row r="39" spans="1:16" x14ac:dyDescent="0.25">
      <c r="A39" s="3">
        <v>34</v>
      </c>
      <c r="B39" s="4" t="s">
        <v>46</v>
      </c>
      <c r="C39" s="5">
        <v>539</v>
      </c>
      <c r="D39" s="5">
        <v>824</v>
      </c>
      <c r="E39" s="5">
        <v>13056</v>
      </c>
      <c r="F39" s="5">
        <v>0</v>
      </c>
      <c r="G39" s="5">
        <v>0</v>
      </c>
      <c r="H39" s="5">
        <v>0</v>
      </c>
      <c r="I39" s="5">
        <v>0</v>
      </c>
      <c r="J39" s="6">
        <v>0</v>
      </c>
      <c r="K39" s="6">
        <v>0</v>
      </c>
      <c r="L39" s="5">
        <v>4432039</v>
      </c>
      <c r="M39" s="5">
        <v>4103034</v>
      </c>
      <c r="N39" s="5">
        <v>2159044</v>
      </c>
      <c r="O39" s="6">
        <v>16751.114742000002</v>
      </c>
      <c r="P39" s="6">
        <v>2783.0472490000002</v>
      </c>
    </row>
    <row r="40" spans="1:16" x14ac:dyDescent="0.25">
      <c r="A40" s="3">
        <v>35</v>
      </c>
      <c r="B40" s="4" t="s">
        <v>47</v>
      </c>
      <c r="C40" s="5">
        <v>766</v>
      </c>
      <c r="D40" s="5">
        <v>1032</v>
      </c>
      <c r="E40" s="5">
        <v>21829</v>
      </c>
      <c r="F40" s="5">
        <v>0</v>
      </c>
      <c r="G40" s="5">
        <v>0</v>
      </c>
      <c r="H40" s="5">
        <v>0</v>
      </c>
      <c r="I40" s="5">
        <v>0</v>
      </c>
      <c r="J40" s="6">
        <v>0</v>
      </c>
      <c r="K40" s="6">
        <v>0</v>
      </c>
      <c r="L40" s="5">
        <v>4317259</v>
      </c>
      <c r="M40" s="5">
        <v>5352027</v>
      </c>
      <c r="N40" s="5">
        <v>2041688</v>
      </c>
      <c r="O40" s="6">
        <v>22953.187218540003</v>
      </c>
      <c r="P40" s="6">
        <v>2762.9987385500003</v>
      </c>
    </row>
    <row r="41" spans="1:16" x14ac:dyDescent="0.25">
      <c r="A41" s="3">
        <v>36</v>
      </c>
      <c r="B41" s="4" t="s">
        <v>48</v>
      </c>
      <c r="C41" s="5">
        <v>1073</v>
      </c>
      <c r="D41" s="5">
        <v>1148</v>
      </c>
      <c r="E41" s="5">
        <v>8225</v>
      </c>
      <c r="F41" s="5">
        <v>0</v>
      </c>
      <c r="G41" s="5">
        <v>1502888</v>
      </c>
      <c r="H41" s="5">
        <v>38562</v>
      </c>
      <c r="I41" s="5">
        <v>3705029</v>
      </c>
      <c r="J41" s="6">
        <v>146.66357793</v>
      </c>
      <c r="K41" s="6">
        <v>11415.962289620002</v>
      </c>
      <c r="L41" s="5">
        <v>8598396</v>
      </c>
      <c r="M41" s="5">
        <v>6670142</v>
      </c>
      <c r="N41" s="5">
        <v>7324161</v>
      </c>
      <c r="O41" s="6">
        <v>27545.458957149996</v>
      </c>
      <c r="P41" s="6">
        <v>8905.1065494000013</v>
      </c>
    </row>
    <row r="42" spans="1:16" x14ac:dyDescent="0.25">
      <c r="A42" s="3">
        <v>37</v>
      </c>
      <c r="B42" s="4" t="s">
        <v>49</v>
      </c>
      <c r="C42" s="5">
        <v>189</v>
      </c>
      <c r="D42" s="5">
        <v>182</v>
      </c>
      <c r="E42" s="5">
        <v>431694</v>
      </c>
      <c r="F42" s="5">
        <v>0</v>
      </c>
      <c r="G42" s="5">
        <v>857193</v>
      </c>
      <c r="H42" s="5">
        <v>62155</v>
      </c>
      <c r="I42" s="5">
        <v>2389958</v>
      </c>
      <c r="J42" s="6">
        <v>311.53788098000001</v>
      </c>
      <c r="K42" s="6">
        <v>8794.8387055300009</v>
      </c>
      <c r="L42" s="5">
        <v>850123</v>
      </c>
      <c r="M42" s="5">
        <v>638627</v>
      </c>
      <c r="N42" s="5">
        <v>435081</v>
      </c>
      <c r="O42" s="6">
        <v>2409.4992109600003</v>
      </c>
      <c r="P42" s="6">
        <v>557.05326963999994</v>
      </c>
    </row>
    <row r="43" spans="1:16" x14ac:dyDescent="0.25">
      <c r="A43" s="3">
        <v>38</v>
      </c>
      <c r="B43" s="4" t="s">
        <v>50</v>
      </c>
      <c r="C43" s="5">
        <v>740</v>
      </c>
      <c r="D43" s="5">
        <v>587</v>
      </c>
      <c r="E43" s="5">
        <v>9649</v>
      </c>
      <c r="F43" s="5">
        <v>0</v>
      </c>
      <c r="G43" s="5">
        <v>0</v>
      </c>
      <c r="H43" s="5">
        <v>0</v>
      </c>
      <c r="I43" s="5">
        <v>0</v>
      </c>
      <c r="J43" s="6">
        <v>0</v>
      </c>
      <c r="K43" s="6">
        <v>0</v>
      </c>
      <c r="L43" s="5">
        <v>3918239</v>
      </c>
      <c r="M43" s="5">
        <v>2718941</v>
      </c>
      <c r="N43" s="5">
        <v>1409989</v>
      </c>
      <c r="O43" s="6">
        <v>11137.613448</v>
      </c>
      <c r="P43" s="6">
        <v>2139.9116439999998</v>
      </c>
    </row>
    <row r="44" spans="1:16" x14ac:dyDescent="0.25">
      <c r="A44" s="3">
        <v>39</v>
      </c>
      <c r="B44" s="4" t="s">
        <v>51</v>
      </c>
      <c r="C44" s="5">
        <v>467</v>
      </c>
      <c r="D44" s="5">
        <v>666</v>
      </c>
      <c r="E44" s="5">
        <v>5039</v>
      </c>
      <c r="F44" s="5">
        <v>0</v>
      </c>
      <c r="G44" s="5">
        <v>20064</v>
      </c>
      <c r="H44" s="5">
        <v>1313</v>
      </c>
      <c r="I44" s="5">
        <v>33849</v>
      </c>
      <c r="J44" s="6">
        <v>1.8710191299999999</v>
      </c>
      <c r="K44" s="6">
        <v>120.26365853999999</v>
      </c>
      <c r="L44" s="5">
        <v>1254935</v>
      </c>
      <c r="M44" s="5">
        <v>4393108</v>
      </c>
      <c r="N44" s="5">
        <v>348345</v>
      </c>
      <c r="O44" s="6">
        <v>18226.5393</v>
      </c>
      <c r="P44" s="6">
        <v>618.66823939999995</v>
      </c>
    </row>
    <row r="45" spans="1:16" x14ac:dyDescent="0.25">
      <c r="A45" s="3">
        <v>40</v>
      </c>
      <c r="B45" s="4" t="s">
        <v>52</v>
      </c>
      <c r="C45" s="5">
        <v>427</v>
      </c>
      <c r="D45" s="5">
        <v>595</v>
      </c>
      <c r="E45" s="5">
        <v>6149</v>
      </c>
      <c r="F45" s="5">
        <v>0</v>
      </c>
      <c r="G45" s="5">
        <v>0</v>
      </c>
      <c r="H45" s="5">
        <v>0</v>
      </c>
      <c r="I45" s="5">
        <v>0</v>
      </c>
      <c r="J45" s="6">
        <v>0</v>
      </c>
      <c r="K45" s="6">
        <v>0</v>
      </c>
      <c r="L45" s="5">
        <v>1289102</v>
      </c>
      <c r="M45" s="5">
        <v>892452</v>
      </c>
      <c r="N45" s="5">
        <v>197702</v>
      </c>
      <c r="O45" s="6">
        <v>3841.5</v>
      </c>
      <c r="P45" s="6">
        <v>342.8175</v>
      </c>
    </row>
    <row r="46" spans="1:16" x14ac:dyDescent="0.25">
      <c r="A46" s="3">
        <v>41</v>
      </c>
      <c r="B46" s="4" t="s">
        <v>53</v>
      </c>
      <c r="C46" s="5">
        <v>865</v>
      </c>
      <c r="D46" s="5">
        <v>468</v>
      </c>
      <c r="E46" s="5">
        <v>85392</v>
      </c>
      <c r="F46" s="5">
        <v>0</v>
      </c>
      <c r="G46" s="5">
        <v>281435</v>
      </c>
      <c r="H46" s="5">
        <v>6300</v>
      </c>
      <c r="I46" s="5">
        <v>895075</v>
      </c>
      <c r="J46" s="6">
        <v>27.14571776</v>
      </c>
      <c r="K46" s="6">
        <v>2439.0782190800001</v>
      </c>
      <c r="L46" s="5">
        <v>1934193</v>
      </c>
      <c r="M46" s="5">
        <v>3499426</v>
      </c>
      <c r="N46" s="5">
        <v>2443256</v>
      </c>
      <c r="O46" s="6">
        <v>13550.982709</v>
      </c>
      <c r="P46" s="6">
        <v>3453.2712253</v>
      </c>
    </row>
    <row r="47" spans="1:16" x14ac:dyDescent="0.25">
      <c r="A47" s="3">
        <v>42</v>
      </c>
      <c r="B47" s="4" t="s">
        <v>54</v>
      </c>
      <c r="C47" s="5">
        <v>0</v>
      </c>
      <c r="D47" s="5">
        <v>0</v>
      </c>
      <c r="E47" s="5">
        <v>39192</v>
      </c>
      <c r="F47" s="5">
        <v>0</v>
      </c>
      <c r="G47" s="5">
        <v>1200852</v>
      </c>
      <c r="H47" s="5">
        <v>2856</v>
      </c>
      <c r="I47" s="5">
        <v>5895998</v>
      </c>
      <c r="J47" s="6">
        <v>20.4968</v>
      </c>
      <c r="K47" s="6">
        <v>45219.834348999997</v>
      </c>
      <c r="L47" s="5">
        <v>0</v>
      </c>
      <c r="M47" s="5">
        <v>0</v>
      </c>
      <c r="N47" s="5">
        <v>0</v>
      </c>
      <c r="O47" s="6">
        <v>0</v>
      </c>
      <c r="P47" s="6">
        <v>0</v>
      </c>
    </row>
    <row r="48" spans="1:16" x14ac:dyDescent="0.25">
      <c r="A48" s="3">
        <v>43</v>
      </c>
      <c r="B48" s="4" t="s">
        <v>55</v>
      </c>
      <c r="C48" s="5">
        <v>0</v>
      </c>
      <c r="D48" s="5">
        <v>0</v>
      </c>
      <c r="E48" s="5">
        <v>0</v>
      </c>
      <c r="F48" s="5">
        <v>0</v>
      </c>
      <c r="G48" s="5">
        <v>18109</v>
      </c>
      <c r="H48" s="5">
        <v>213</v>
      </c>
      <c r="I48" s="5">
        <v>52990</v>
      </c>
      <c r="J48" s="6">
        <v>1.8739638799999998</v>
      </c>
      <c r="K48" s="6">
        <v>389.57521916000002</v>
      </c>
      <c r="L48" s="5">
        <v>0</v>
      </c>
      <c r="M48" s="5">
        <v>0</v>
      </c>
      <c r="N48" s="5">
        <v>0</v>
      </c>
      <c r="O48" s="6">
        <v>0</v>
      </c>
      <c r="P48" s="6">
        <v>0</v>
      </c>
    </row>
    <row r="49" spans="1:16" x14ac:dyDescent="0.25">
      <c r="A49" s="3">
        <v>44</v>
      </c>
      <c r="B49" s="4" t="s">
        <v>56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6">
        <v>0</v>
      </c>
      <c r="K49" s="6">
        <v>0</v>
      </c>
      <c r="L49" s="5">
        <v>3313</v>
      </c>
      <c r="M49" s="5">
        <v>146</v>
      </c>
      <c r="N49" s="5">
        <v>221</v>
      </c>
      <c r="O49" s="6">
        <v>1.1899613500000001</v>
      </c>
      <c r="P49" s="6">
        <v>0.99608355000000004</v>
      </c>
    </row>
    <row r="50" spans="1:16" x14ac:dyDescent="0.25">
      <c r="A50" s="3">
        <v>45</v>
      </c>
      <c r="B50" s="4" t="s">
        <v>57</v>
      </c>
      <c r="C50" s="5">
        <v>47</v>
      </c>
      <c r="D50" s="5">
        <v>496</v>
      </c>
      <c r="E50" s="5">
        <v>34846</v>
      </c>
      <c r="F50" s="5">
        <v>0</v>
      </c>
      <c r="G50" s="5">
        <v>2514041</v>
      </c>
      <c r="H50" s="5">
        <v>41596</v>
      </c>
      <c r="I50" s="5">
        <v>18333546</v>
      </c>
      <c r="J50" s="6">
        <v>236.71292299999999</v>
      </c>
      <c r="K50" s="6">
        <v>42245.965922000003</v>
      </c>
      <c r="L50" s="5">
        <v>1619075</v>
      </c>
      <c r="M50" s="5">
        <v>2234781</v>
      </c>
      <c r="N50" s="5">
        <v>5176451</v>
      </c>
      <c r="O50" s="6">
        <v>8925.8243849999999</v>
      </c>
      <c r="P50" s="6">
        <v>9075.9032819999993</v>
      </c>
    </row>
    <row r="51" spans="1:16" x14ac:dyDescent="0.25">
      <c r="A51" s="3">
        <v>46</v>
      </c>
      <c r="B51" s="4" t="s">
        <v>58</v>
      </c>
      <c r="C51" s="5">
        <v>23</v>
      </c>
      <c r="D51" s="5">
        <v>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6">
        <v>0</v>
      </c>
      <c r="K51" s="6">
        <v>0</v>
      </c>
      <c r="L51" s="5">
        <v>2319472</v>
      </c>
      <c r="M51" s="5">
        <v>752295</v>
      </c>
      <c r="N51" s="5">
        <v>875373</v>
      </c>
      <c r="O51" s="6">
        <v>1372.939885</v>
      </c>
      <c r="P51" s="6">
        <v>607.01581050000004</v>
      </c>
    </row>
    <row r="52" spans="1:16" x14ac:dyDescent="0.25">
      <c r="A52" s="3">
        <v>47</v>
      </c>
      <c r="B52" s="4" t="s">
        <v>59</v>
      </c>
      <c r="C52" s="5">
        <v>13</v>
      </c>
      <c r="D52" s="5">
        <v>19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6">
        <v>0</v>
      </c>
      <c r="K52" s="6">
        <v>0</v>
      </c>
      <c r="L52" s="5">
        <v>113349</v>
      </c>
      <c r="M52" s="5">
        <v>127380</v>
      </c>
      <c r="N52" s="5">
        <v>206760</v>
      </c>
      <c r="O52" s="6">
        <v>620.45118100000002</v>
      </c>
      <c r="P52" s="6">
        <v>351.73504700000001</v>
      </c>
    </row>
    <row r="53" spans="1:16" x14ac:dyDescent="0.25">
      <c r="A53" s="3">
        <v>48</v>
      </c>
      <c r="B53" s="4" t="s">
        <v>60</v>
      </c>
      <c r="C53" s="5">
        <v>45</v>
      </c>
      <c r="D53" s="5">
        <v>52</v>
      </c>
      <c r="E53" s="5">
        <v>0</v>
      </c>
      <c r="F53" s="5">
        <v>0</v>
      </c>
      <c r="G53" s="5">
        <v>588785</v>
      </c>
      <c r="H53" s="5">
        <v>4245</v>
      </c>
      <c r="I53" s="5">
        <v>1479790</v>
      </c>
      <c r="J53" s="6">
        <v>30.890309999999999</v>
      </c>
      <c r="K53" s="6">
        <v>4491.7971269999998</v>
      </c>
      <c r="L53" s="5">
        <v>391493</v>
      </c>
      <c r="M53" s="5">
        <v>317683</v>
      </c>
      <c r="N53" s="5">
        <v>611165</v>
      </c>
      <c r="O53" s="6">
        <v>1615.68722</v>
      </c>
      <c r="P53" s="6">
        <v>1143.7237600000001</v>
      </c>
    </row>
    <row r="54" spans="1:16" x14ac:dyDescent="0.25">
      <c r="A54" s="3">
        <v>49</v>
      </c>
      <c r="B54" s="4" t="s">
        <v>61</v>
      </c>
      <c r="C54" s="5">
        <v>102</v>
      </c>
      <c r="D54" s="5">
        <v>136</v>
      </c>
      <c r="E54" s="5">
        <v>0</v>
      </c>
      <c r="F54" s="5">
        <v>0</v>
      </c>
      <c r="G54" s="5">
        <v>1270641</v>
      </c>
      <c r="H54" s="5">
        <v>5431</v>
      </c>
      <c r="I54" s="5">
        <v>4477614</v>
      </c>
      <c r="J54" s="6">
        <v>25.543247000000001</v>
      </c>
      <c r="K54" s="6">
        <v>10677.456453000001</v>
      </c>
      <c r="L54" s="5">
        <v>1085405</v>
      </c>
      <c r="M54" s="5">
        <v>1985610</v>
      </c>
      <c r="N54" s="5">
        <v>2697966</v>
      </c>
      <c r="O54" s="6">
        <v>6685.3627130000004</v>
      </c>
      <c r="P54" s="6">
        <v>3135.31007</v>
      </c>
    </row>
    <row r="55" spans="1:16" x14ac:dyDescent="0.25">
      <c r="A55" s="3">
        <v>50</v>
      </c>
      <c r="B55" s="18" t="s">
        <v>100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>
        <v>0</v>
      </c>
      <c r="K55" s="6">
        <v>9.0000000000000002E-6</v>
      </c>
      <c r="L55" s="5">
        <v>3</v>
      </c>
      <c r="M55" s="5">
        <v>0</v>
      </c>
      <c r="N55" s="5">
        <v>3</v>
      </c>
      <c r="O55" s="6">
        <v>0</v>
      </c>
      <c r="P55" s="6">
        <v>7.5500000000000003E-3</v>
      </c>
    </row>
    <row r="56" spans="1:16" x14ac:dyDescent="0.25">
      <c r="A56" s="3">
        <v>51</v>
      </c>
      <c r="B56" s="18" t="s">
        <v>101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6">
        <v>0</v>
      </c>
      <c r="K56" s="6">
        <v>0</v>
      </c>
      <c r="L56" s="5">
        <v>1338589</v>
      </c>
      <c r="M56" s="5">
        <v>0</v>
      </c>
      <c r="N56" s="5">
        <v>333570</v>
      </c>
      <c r="O56" s="6">
        <v>0</v>
      </c>
      <c r="P56" s="6">
        <v>160.89463699000001</v>
      </c>
    </row>
    <row r="57" spans="1:16" x14ac:dyDescent="0.25">
      <c r="A57" s="3">
        <v>52</v>
      </c>
      <c r="B57" s="18" t="s">
        <v>102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6">
        <v>0</v>
      </c>
      <c r="K57" s="6">
        <v>0</v>
      </c>
      <c r="L57" s="5">
        <v>248703</v>
      </c>
      <c r="M57" s="5">
        <v>360403</v>
      </c>
      <c r="N57" s="5">
        <v>71137</v>
      </c>
      <c r="O57" s="6">
        <v>1320.0894290000001</v>
      </c>
      <c r="P57" s="6">
        <v>60.337911390000002</v>
      </c>
    </row>
    <row r="58" spans="1:16" x14ac:dyDescent="0.25">
      <c r="A58" s="3">
        <v>53</v>
      </c>
      <c r="B58" s="18" t="s">
        <v>103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6">
        <v>0</v>
      </c>
      <c r="K58" s="6">
        <v>0</v>
      </c>
      <c r="L58" s="5">
        <v>2309</v>
      </c>
      <c r="M58" s="5">
        <v>419</v>
      </c>
      <c r="N58" s="5">
        <v>8</v>
      </c>
      <c r="O58" s="6">
        <v>0.81869999999999998</v>
      </c>
      <c r="P58" s="6">
        <v>7.639E-3</v>
      </c>
    </row>
    <row r="59" spans="1:16" x14ac:dyDescent="0.25">
      <c r="A59" s="3">
        <v>54</v>
      </c>
      <c r="B59" s="18" t="s">
        <v>104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6">
        <v>0</v>
      </c>
      <c r="K59" s="6">
        <v>0</v>
      </c>
      <c r="L59" s="5">
        <v>0</v>
      </c>
      <c r="M59" s="5">
        <v>0</v>
      </c>
      <c r="N59" s="5">
        <v>0</v>
      </c>
      <c r="O59" s="6">
        <v>0</v>
      </c>
      <c r="P59" s="6">
        <v>0</v>
      </c>
    </row>
    <row r="60" spans="1:16" x14ac:dyDescent="0.25">
      <c r="A60" s="3">
        <v>55</v>
      </c>
      <c r="B60" s="18" t="s">
        <v>105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6">
        <v>0</v>
      </c>
      <c r="K60" s="6">
        <v>0</v>
      </c>
      <c r="L60" s="5">
        <v>0</v>
      </c>
      <c r="M60" s="5">
        <v>0</v>
      </c>
      <c r="N60" s="5">
        <v>0</v>
      </c>
      <c r="O60" s="6">
        <v>0</v>
      </c>
      <c r="P60" s="6">
        <v>0</v>
      </c>
    </row>
    <row r="61" spans="1:16" x14ac:dyDescent="0.25">
      <c r="A61" s="3">
        <v>56</v>
      </c>
      <c r="B61" s="18" t="s">
        <v>106</v>
      </c>
      <c r="C61" s="5">
        <v>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6">
        <v>0</v>
      </c>
      <c r="K61" s="6">
        <v>0</v>
      </c>
      <c r="L61" s="5">
        <v>34312263</v>
      </c>
      <c r="M61" s="5">
        <v>403281</v>
      </c>
      <c r="N61" s="5">
        <v>914728</v>
      </c>
      <c r="O61" s="6">
        <v>765.90227000000004</v>
      </c>
      <c r="P61" s="6">
        <v>411.01531089000008</v>
      </c>
    </row>
    <row r="62" spans="1:16" x14ac:dyDescent="0.25">
      <c r="A62" s="3">
        <v>57</v>
      </c>
      <c r="B62" s="19" t="s">
        <v>107</v>
      </c>
      <c r="C62" s="5">
        <v>290</v>
      </c>
      <c r="D62" s="5">
        <v>2</v>
      </c>
      <c r="E62" s="5">
        <v>0</v>
      </c>
      <c r="F62" s="5">
        <v>0</v>
      </c>
      <c r="G62" s="5">
        <v>0</v>
      </c>
      <c r="H62" s="5">
        <v>3503</v>
      </c>
      <c r="I62" s="5">
        <v>0</v>
      </c>
      <c r="J62" s="6">
        <v>11.9384</v>
      </c>
      <c r="K62" s="6">
        <v>0</v>
      </c>
      <c r="L62" s="5">
        <v>491623</v>
      </c>
      <c r="M62" s="5">
        <v>768711</v>
      </c>
      <c r="N62" s="5">
        <v>0</v>
      </c>
      <c r="O62" s="6">
        <v>3038.2128309999998</v>
      </c>
      <c r="P62" s="6">
        <v>0</v>
      </c>
    </row>
    <row r="63" spans="1:16" x14ac:dyDescent="0.25">
      <c r="A63" s="3">
        <v>58</v>
      </c>
      <c r="B63" s="19" t="s">
        <v>108</v>
      </c>
      <c r="C63" s="5">
        <v>102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6">
        <v>0</v>
      </c>
      <c r="K63" s="6">
        <v>0</v>
      </c>
      <c r="L63" s="5">
        <v>152325</v>
      </c>
      <c r="M63" s="5">
        <v>71227</v>
      </c>
      <c r="N63" s="5">
        <v>14129</v>
      </c>
      <c r="O63" s="6">
        <v>262.50814500000001</v>
      </c>
      <c r="P63" s="6">
        <v>25.727580270000001</v>
      </c>
    </row>
    <row r="64" spans="1:16" x14ac:dyDescent="0.25">
      <c r="A64" s="3">
        <v>59</v>
      </c>
      <c r="B64" s="19" t="s">
        <v>109</v>
      </c>
      <c r="C64" s="5">
        <v>34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6">
        <v>0</v>
      </c>
      <c r="K64" s="6">
        <v>0</v>
      </c>
      <c r="L64" s="5">
        <v>8106</v>
      </c>
      <c r="M64" s="5">
        <v>146025</v>
      </c>
      <c r="N64" s="5">
        <v>5319</v>
      </c>
      <c r="O64" s="6">
        <v>770.64</v>
      </c>
      <c r="P64" s="6">
        <v>4.5199999999999996</v>
      </c>
    </row>
    <row r="65" spans="1:16" x14ac:dyDescent="0.25">
      <c r="A65" s="3">
        <v>60</v>
      </c>
      <c r="B65" s="19" t="s">
        <v>110</v>
      </c>
      <c r="C65" s="5">
        <v>320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6">
        <v>0</v>
      </c>
      <c r="K65" s="6">
        <v>0</v>
      </c>
      <c r="L65" s="5">
        <v>372266</v>
      </c>
      <c r="M65" s="5">
        <v>852001</v>
      </c>
      <c r="N65" s="5">
        <v>0</v>
      </c>
      <c r="O65" s="6">
        <v>2491.6</v>
      </c>
      <c r="P65" s="6">
        <v>0</v>
      </c>
    </row>
    <row r="66" spans="1:16" x14ac:dyDescent="0.25">
      <c r="A66" s="3">
        <v>61</v>
      </c>
      <c r="B66" s="19" t="s">
        <v>111</v>
      </c>
      <c r="C66" s="5">
        <v>84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6">
        <v>0</v>
      </c>
      <c r="K66" s="6">
        <v>0</v>
      </c>
      <c r="L66" s="5">
        <v>1371405</v>
      </c>
      <c r="M66" s="5">
        <v>379181</v>
      </c>
      <c r="N66" s="5">
        <v>13297</v>
      </c>
      <c r="O66" s="6">
        <v>2107.3784900000001</v>
      </c>
      <c r="P66" s="6">
        <v>16.282239999999998</v>
      </c>
    </row>
    <row r="67" spans="1:16" x14ac:dyDescent="0.25">
      <c r="A67" s="3">
        <v>62</v>
      </c>
      <c r="B67" s="19" t="s">
        <v>112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6">
        <v>0</v>
      </c>
      <c r="K67" s="6">
        <v>0</v>
      </c>
      <c r="L67" s="5">
        <v>0</v>
      </c>
      <c r="M67" s="5">
        <v>0</v>
      </c>
      <c r="N67" s="5">
        <v>0</v>
      </c>
      <c r="O67" s="6">
        <v>0</v>
      </c>
      <c r="P67" s="6">
        <v>0</v>
      </c>
    </row>
    <row r="68" spans="1:16" ht="25" x14ac:dyDescent="0.25">
      <c r="A68" s="3">
        <v>63</v>
      </c>
      <c r="B68" s="19" t="s">
        <v>113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6">
        <v>0</v>
      </c>
      <c r="K68" s="6">
        <v>0</v>
      </c>
      <c r="L68" s="5">
        <v>978</v>
      </c>
      <c r="M68" s="5">
        <v>24</v>
      </c>
      <c r="N68" s="5">
        <v>5</v>
      </c>
      <c r="O68" s="6">
        <v>7.0199999999999999E-2</v>
      </c>
      <c r="P68" s="6">
        <v>8.5520000000000006E-3</v>
      </c>
    </row>
    <row r="69" spans="1:16" x14ac:dyDescent="0.25">
      <c r="A69" s="3">
        <v>64</v>
      </c>
      <c r="B69" s="19" t="s">
        <v>114</v>
      </c>
      <c r="C69" s="5">
        <v>25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6">
        <v>0</v>
      </c>
      <c r="K69" s="6">
        <v>0</v>
      </c>
      <c r="L69" s="5">
        <v>6447</v>
      </c>
      <c r="M69" s="5">
        <v>24897</v>
      </c>
      <c r="N69" s="5">
        <v>4661</v>
      </c>
      <c r="O69" s="6">
        <v>54.102400000000003</v>
      </c>
      <c r="P69" s="6">
        <v>6.1787727699999992</v>
      </c>
    </row>
    <row r="70" spans="1:16" x14ac:dyDescent="0.25">
      <c r="A70" s="3">
        <v>65</v>
      </c>
      <c r="B70" s="19" t="s">
        <v>115</v>
      </c>
      <c r="C70" s="5">
        <v>152</v>
      </c>
      <c r="D70" s="5">
        <v>3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6">
        <v>0</v>
      </c>
      <c r="K70" s="6">
        <v>0</v>
      </c>
      <c r="L70" s="5">
        <v>768310</v>
      </c>
      <c r="M70" s="5">
        <v>356332</v>
      </c>
      <c r="N70" s="5">
        <v>58036</v>
      </c>
      <c r="O70" s="6">
        <v>119.12</v>
      </c>
      <c r="P70" s="6">
        <v>4.37</v>
      </c>
    </row>
    <row r="71" spans="1:16" x14ac:dyDescent="0.25">
      <c r="A71" s="3">
        <v>66</v>
      </c>
      <c r="B71" s="19" t="s">
        <v>116</v>
      </c>
      <c r="C71" s="5">
        <v>60</v>
      </c>
      <c r="D71" s="5">
        <v>34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6">
        <v>0</v>
      </c>
      <c r="K71" s="6">
        <v>0</v>
      </c>
      <c r="L71" s="5">
        <v>33871</v>
      </c>
      <c r="M71" s="5">
        <v>129969</v>
      </c>
      <c r="N71" s="5">
        <v>7098</v>
      </c>
      <c r="O71" s="6">
        <v>460.983385</v>
      </c>
      <c r="P71" s="6">
        <v>9.1925593800000005</v>
      </c>
    </row>
    <row r="72" spans="1:16" ht="13" x14ac:dyDescent="0.3">
      <c r="A72" s="9"/>
      <c r="B72" s="10" t="s">
        <v>79</v>
      </c>
      <c r="C72" s="11">
        <v>104011</v>
      </c>
      <c r="D72" s="11">
        <v>101173</v>
      </c>
      <c r="E72" s="11">
        <f>SUM(E6:E71)</f>
        <v>3193356</v>
      </c>
      <c r="F72" s="11">
        <f>SUM(F6:F71)</f>
        <v>0</v>
      </c>
      <c r="G72" s="11">
        <v>37782876</v>
      </c>
      <c r="H72" s="11">
        <v>727175</v>
      </c>
      <c r="I72" s="11">
        <v>132318612</v>
      </c>
      <c r="J72" s="11">
        <v>3396.1486415799995</v>
      </c>
      <c r="K72" s="11">
        <v>448369.73470076005</v>
      </c>
      <c r="L72" s="11">
        <v>906465905</v>
      </c>
      <c r="M72" s="11">
        <v>758938556</v>
      </c>
      <c r="N72" s="11">
        <f>SUM(N6:N71)</f>
        <v>333766148</v>
      </c>
      <c r="O72" s="11">
        <f>SUM(O6:O71)</f>
        <v>2647970.7959070401</v>
      </c>
      <c r="P72" s="11">
        <f>SUM(P6:P71)</f>
        <v>454571.3216744822</v>
      </c>
    </row>
    <row r="73" spans="1:16" x14ac:dyDescent="0.25">
      <c r="A73" s="158" t="s">
        <v>117</v>
      </c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</row>
    <row r="74" spans="1:16" x14ac:dyDescent="0.25">
      <c r="A74" s="12">
        <v>1</v>
      </c>
      <c r="B74" s="157" t="s">
        <v>80</v>
      </c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</row>
    <row r="75" spans="1:16" x14ac:dyDescent="0.25">
      <c r="A75" s="12">
        <v>2</v>
      </c>
      <c r="B75" s="157" t="s">
        <v>81</v>
      </c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</row>
    <row r="76" spans="1:16" x14ac:dyDescent="0.25">
      <c r="A76" s="12">
        <v>3</v>
      </c>
      <c r="B76" s="157" t="s">
        <v>82</v>
      </c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</row>
    <row r="77" spans="1:16" x14ac:dyDescent="0.25">
      <c r="A77" s="12">
        <v>4</v>
      </c>
      <c r="B77" s="157" t="s">
        <v>83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</row>
    <row r="78" spans="1:16" x14ac:dyDescent="0.25">
      <c r="A78" s="12">
        <v>5</v>
      </c>
      <c r="B78" s="157" t="s">
        <v>84</v>
      </c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</row>
    <row r="79" spans="1:16" x14ac:dyDescent="0.25">
      <c r="A79" s="12">
        <v>6</v>
      </c>
      <c r="B79" s="157" t="s">
        <v>85</v>
      </c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</row>
    <row r="80" spans="1:16" x14ac:dyDescent="0.25">
      <c r="A80" s="12">
        <v>7</v>
      </c>
      <c r="B80" s="157" t="s">
        <v>86</v>
      </c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</row>
    <row r="81" spans="1:16" x14ac:dyDescent="0.25">
      <c r="A81" s="12">
        <v>8</v>
      </c>
      <c r="B81" s="157" t="s">
        <v>87</v>
      </c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</row>
    <row r="82" spans="1:16" x14ac:dyDescent="0.25">
      <c r="A82" s="12">
        <v>9</v>
      </c>
      <c r="B82" s="157" t="s">
        <v>88</v>
      </c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</row>
    <row r="83" spans="1:16" x14ac:dyDescent="0.25">
      <c r="A83" s="12">
        <v>10</v>
      </c>
      <c r="B83" s="157" t="s">
        <v>89</v>
      </c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</row>
    <row r="84" spans="1:16" x14ac:dyDescent="0.25">
      <c r="A84" s="12">
        <v>11</v>
      </c>
      <c r="B84" s="157" t="s">
        <v>90</v>
      </c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</row>
    <row r="85" spans="1:16" x14ac:dyDescent="0.25">
      <c r="A85" s="12">
        <v>12</v>
      </c>
      <c r="B85" s="157" t="s">
        <v>91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</row>
    <row r="86" spans="1:16" x14ac:dyDescent="0.25">
      <c r="A86" s="12">
        <v>13</v>
      </c>
      <c r="B86" s="157" t="s">
        <v>92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</row>
    <row r="87" spans="1:16" x14ac:dyDescent="0.25">
      <c r="A87" s="12">
        <v>14</v>
      </c>
      <c r="B87" s="157" t="s">
        <v>93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</row>
  </sheetData>
  <mergeCells count="32">
    <mergeCell ref="A1:P1"/>
    <mergeCell ref="A2:A5"/>
    <mergeCell ref="B2:B5"/>
    <mergeCell ref="C2:D2"/>
    <mergeCell ref="E2:F2"/>
    <mergeCell ref="G2:K2"/>
    <mergeCell ref="L2:P2"/>
    <mergeCell ref="C3:C4"/>
    <mergeCell ref="D3:D4"/>
    <mergeCell ref="E3:E4"/>
    <mergeCell ref="B77:P77"/>
    <mergeCell ref="F3:F4"/>
    <mergeCell ref="G3:G4"/>
    <mergeCell ref="H3:I3"/>
    <mergeCell ref="J3:K3"/>
    <mergeCell ref="L3:L4"/>
    <mergeCell ref="M3:N3"/>
    <mergeCell ref="O3:P3"/>
    <mergeCell ref="A73:P73"/>
    <mergeCell ref="B74:P74"/>
    <mergeCell ref="B75:P75"/>
    <mergeCell ref="B76:P76"/>
    <mergeCell ref="B84:P84"/>
    <mergeCell ref="B85:P85"/>
    <mergeCell ref="B86:P86"/>
    <mergeCell ref="B87:P87"/>
    <mergeCell ref="B78:P78"/>
    <mergeCell ref="B79:P79"/>
    <mergeCell ref="B80:P80"/>
    <mergeCell ref="B81:P81"/>
    <mergeCell ref="B82:P82"/>
    <mergeCell ref="B83:P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16" workbookViewId="0">
      <selection activeCell="H30" sqref="H30"/>
    </sheetView>
  </sheetViews>
  <sheetFormatPr defaultRowHeight="12.5" x14ac:dyDescent="0.25"/>
  <cols>
    <col min="1" max="1" width="16.90625" customWidth="1"/>
    <col min="2" max="2" width="14.08984375" customWidth="1"/>
    <col min="6" max="6" width="16.54296875" customWidth="1"/>
  </cols>
  <sheetData>
    <row r="1" spans="1:11" ht="25" x14ac:dyDescent="0.25">
      <c r="A1" s="24" t="s">
        <v>121</v>
      </c>
      <c r="B1" s="25" t="s">
        <v>122</v>
      </c>
    </row>
    <row r="2" spans="1:11" ht="16" x14ac:dyDescent="0.25">
      <c r="A2" s="26" t="s">
        <v>123</v>
      </c>
      <c r="B2" s="27" t="s">
        <v>124</v>
      </c>
    </row>
    <row r="3" spans="1:11" x14ac:dyDescent="0.25">
      <c r="A3" s="28"/>
      <c r="B3" s="29" t="s">
        <v>125</v>
      </c>
      <c r="C3" s="30">
        <v>44275</v>
      </c>
      <c r="D3" s="30">
        <v>44274</v>
      </c>
      <c r="E3" s="30">
        <v>44274</v>
      </c>
      <c r="F3" s="30">
        <v>44273</v>
      </c>
      <c r="G3" s="23"/>
      <c r="H3" s="23"/>
      <c r="I3" s="23"/>
      <c r="J3" s="23"/>
      <c r="K3" s="23"/>
    </row>
    <row r="4" spans="1:11" x14ac:dyDescent="0.25">
      <c r="A4" s="162"/>
      <c r="B4" s="162"/>
      <c r="C4" s="162"/>
      <c r="D4" s="162"/>
      <c r="E4" s="162"/>
      <c r="F4" s="162"/>
      <c r="G4" s="162"/>
      <c r="H4" s="162"/>
      <c r="I4" s="162"/>
      <c r="J4" s="162"/>
      <c r="K4" s="162"/>
    </row>
    <row r="5" spans="1:11" x14ac:dyDescent="0.25">
      <c r="A5" s="31"/>
      <c r="B5" s="32" t="s">
        <v>126</v>
      </c>
      <c r="C5" s="32" t="s">
        <v>126</v>
      </c>
      <c r="D5" s="32" t="s">
        <v>126</v>
      </c>
      <c r="E5" s="32" t="s">
        <v>126</v>
      </c>
      <c r="F5" s="32" t="s">
        <v>126</v>
      </c>
      <c r="G5" s="23"/>
      <c r="H5" s="23"/>
      <c r="I5" s="23"/>
      <c r="J5" s="23"/>
      <c r="K5" s="23"/>
    </row>
    <row r="6" spans="1:11" x14ac:dyDescent="0.25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</row>
    <row r="7" spans="1:11" x14ac:dyDescent="0.25">
      <c r="A7" s="160" t="s">
        <v>127</v>
      </c>
      <c r="B7" s="161"/>
      <c r="C7" s="29"/>
      <c r="D7" s="29"/>
      <c r="E7" s="29"/>
      <c r="F7" s="29"/>
      <c r="G7" s="23"/>
      <c r="H7" s="23"/>
      <c r="I7" s="23"/>
      <c r="J7" s="23"/>
      <c r="K7" s="23"/>
    </row>
    <row r="8" spans="1:11" x14ac:dyDescent="0.25">
      <c r="A8" s="160" t="s">
        <v>128</v>
      </c>
      <c r="B8" s="161"/>
      <c r="C8" s="29"/>
      <c r="D8" s="29"/>
      <c r="E8" s="29"/>
      <c r="F8" s="29"/>
      <c r="G8" s="23"/>
      <c r="H8" s="23"/>
      <c r="I8" s="23"/>
      <c r="J8" s="23"/>
      <c r="K8" s="23"/>
    </row>
    <row r="9" spans="1:11" x14ac:dyDescent="0.25">
      <c r="A9" s="31" t="s">
        <v>129</v>
      </c>
      <c r="B9" s="32">
        <v>548.33000000000004</v>
      </c>
      <c r="C9" s="32">
        <v>548.33000000000004</v>
      </c>
      <c r="D9" s="32">
        <v>544.66</v>
      </c>
      <c r="E9" s="32">
        <v>544.66</v>
      </c>
      <c r="F9" s="32">
        <v>519.02</v>
      </c>
      <c r="G9" s="23"/>
      <c r="H9" s="23"/>
      <c r="I9" s="23"/>
      <c r="J9" s="23"/>
      <c r="K9" s="23"/>
    </row>
    <row r="10" spans="1:11" x14ac:dyDescent="0.25">
      <c r="A10" s="26" t="s">
        <v>130</v>
      </c>
      <c r="B10" s="33">
        <v>548.33000000000004</v>
      </c>
      <c r="C10" s="33">
        <v>548.33000000000004</v>
      </c>
      <c r="D10" s="33">
        <v>544.66</v>
      </c>
      <c r="E10" s="33">
        <v>544.66</v>
      </c>
      <c r="F10" s="33">
        <v>519.02</v>
      </c>
      <c r="G10" s="23"/>
      <c r="H10" s="23"/>
      <c r="I10" s="23"/>
      <c r="J10" s="23"/>
      <c r="K10" s="23"/>
    </row>
    <row r="11" spans="1:11" x14ac:dyDescent="0.25">
      <c r="A11" s="31" t="s">
        <v>131</v>
      </c>
      <c r="B11" s="34">
        <v>170437.7</v>
      </c>
      <c r="C11" s="34">
        <v>170437.69</v>
      </c>
      <c r="D11" s="34">
        <v>148661.69</v>
      </c>
      <c r="E11" s="34">
        <v>148661.66</v>
      </c>
      <c r="F11" s="34">
        <v>105775.98</v>
      </c>
      <c r="G11" s="23"/>
      <c r="H11" s="23"/>
      <c r="I11" s="23"/>
      <c r="J11" s="23"/>
      <c r="K11" s="23"/>
    </row>
    <row r="12" spans="1:11" x14ac:dyDescent="0.25">
      <c r="A12" s="31" t="s">
        <v>132</v>
      </c>
      <c r="B12" s="34">
        <v>170437.7</v>
      </c>
      <c r="C12" s="34">
        <v>170437.69</v>
      </c>
      <c r="D12" s="34">
        <v>148661.69</v>
      </c>
      <c r="E12" s="34">
        <v>148661.66</v>
      </c>
      <c r="F12" s="34">
        <v>105775.98</v>
      </c>
      <c r="G12" s="23"/>
      <c r="H12" s="23"/>
      <c r="I12" s="23"/>
      <c r="J12" s="23"/>
      <c r="K12" s="23"/>
    </row>
    <row r="13" spans="1:11" x14ac:dyDescent="0.25">
      <c r="A13" s="26" t="s">
        <v>133</v>
      </c>
      <c r="B13" s="35">
        <v>170986.03</v>
      </c>
      <c r="C13" s="35">
        <v>170986.02</v>
      </c>
      <c r="D13" s="35">
        <v>149206.35</v>
      </c>
      <c r="E13" s="35">
        <v>149206.32</v>
      </c>
      <c r="F13" s="35">
        <v>106295</v>
      </c>
      <c r="G13" s="23"/>
      <c r="H13" s="23"/>
      <c r="I13" s="23"/>
      <c r="J13" s="23"/>
      <c r="K13" s="23"/>
    </row>
    <row r="14" spans="1:11" x14ac:dyDescent="0.25">
      <c r="A14" s="31" t="s">
        <v>134</v>
      </c>
      <c r="B14" s="34">
        <v>1147502.29</v>
      </c>
      <c r="C14" s="34">
        <v>1147502.31</v>
      </c>
      <c r="D14" s="34">
        <v>923140.93</v>
      </c>
      <c r="E14" s="34">
        <v>923140.93</v>
      </c>
      <c r="F14" s="34">
        <v>788770.64</v>
      </c>
      <c r="G14" s="23"/>
      <c r="H14" s="23"/>
      <c r="I14" s="23"/>
      <c r="J14" s="23"/>
      <c r="K14" s="23"/>
    </row>
    <row r="15" spans="1:11" x14ac:dyDescent="0.25">
      <c r="A15" s="31" t="s">
        <v>135</v>
      </c>
      <c r="B15" s="34">
        <v>144628.54</v>
      </c>
      <c r="C15" s="34">
        <v>144628.54</v>
      </c>
      <c r="D15" s="34">
        <v>117085.12</v>
      </c>
      <c r="E15" s="34">
        <v>117085.13</v>
      </c>
      <c r="F15" s="34">
        <v>123104.97</v>
      </c>
      <c r="G15" s="23"/>
      <c r="H15" s="23"/>
      <c r="I15" s="23"/>
      <c r="J15" s="23"/>
      <c r="K15" s="23"/>
    </row>
    <row r="16" spans="1:11" x14ac:dyDescent="0.25">
      <c r="A16" s="31" t="s">
        <v>136</v>
      </c>
      <c r="B16" s="34">
        <v>67394.399999999994</v>
      </c>
      <c r="C16" s="34">
        <v>67394.399999999994</v>
      </c>
      <c r="D16" s="34">
        <v>55108.29</v>
      </c>
      <c r="E16" s="34">
        <v>55108.33</v>
      </c>
      <c r="F16" s="34">
        <v>45763.72</v>
      </c>
      <c r="G16" s="23"/>
      <c r="H16" s="23"/>
      <c r="I16" s="23"/>
      <c r="J16" s="23"/>
      <c r="K16" s="23"/>
    </row>
    <row r="17" spans="1:11" x14ac:dyDescent="0.25">
      <c r="A17" s="26" t="s">
        <v>137</v>
      </c>
      <c r="B17" s="35">
        <v>1530511.26</v>
      </c>
      <c r="C17" s="35">
        <v>1530511.27</v>
      </c>
      <c r="D17" s="35">
        <v>1244540.69</v>
      </c>
      <c r="E17" s="35">
        <v>1244540.71</v>
      </c>
      <c r="F17" s="35">
        <v>1063934.32</v>
      </c>
      <c r="G17" s="23"/>
      <c r="H17" s="23"/>
      <c r="I17" s="23"/>
      <c r="J17" s="23"/>
      <c r="K17" s="23"/>
    </row>
    <row r="18" spans="1:11" x14ac:dyDescent="0.25">
      <c r="A18" s="160" t="s">
        <v>138</v>
      </c>
      <c r="B18" s="161"/>
      <c r="C18" s="29"/>
      <c r="D18" s="29"/>
      <c r="E18" s="29"/>
      <c r="F18" s="29"/>
      <c r="G18" s="23"/>
      <c r="H18" s="23"/>
      <c r="I18" s="23"/>
      <c r="J18" s="23"/>
      <c r="K18" s="23"/>
    </row>
    <row r="19" spans="1:11" ht="16" x14ac:dyDescent="0.25">
      <c r="A19" s="31" t="s">
        <v>139</v>
      </c>
      <c r="B19" s="34">
        <v>72205.119999999995</v>
      </c>
      <c r="C19" s="34">
        <v>72205.119999999995</v>
      </c>
      <c r="D19" s="34">
        <v>46763.62</v>
      </c>
      <c r="E19" s="34">
        <v>46763.62</v>
      </c>
      <c r="F19" s="34">
        <v>104670.47</v>
      </c>
      <c r="G19" s="23"/>
      <c r="H19" s="23"/>
      <c r="I19" s="23"/>
      <c r="J19" s="23"/>
      <c r="K19" s="23"/>
    </row>
    <row r="20" spans="1:11" ht="16" x14ac:dyDescent="0.25">
      <c r="A20" s="31" t="s">
        <v>140</v>
      </c>
      <c r="B20" s="34">
        <v>14413.6</v>
      </c>
      <c r="C20" s="34">
        <v>14413.6</v>
      </c>
      <c r="D20" s="34">
        <v>34584.019999999997</v>
      </c>
      <c r="E20" s="34">
        <v>34584.01</v>
      </c>
      <c r="F20" s="34">
        <v>18244.61</v>
      </c>
      <c r="G20" s="23"/>
      <c r="H20" s="23"/>
      <c r="I20" s="23"/>
      <c r="J20" s="23"/>
      <c r="K20" s="23"/>
    </row>
    <row r="21" spans="1:11" x14ac:dyDescent="0.25">
      <c r="A21" s="31" t="s">
        <v>141</v>
      </c>
      <c r="B21" s="34">
        <v>391826.66</v>
      </c>
      <c r="C21" s="34">
        <v>391826.66</v>
      </c>
      <c r="D21" s="34">
        <v>290587.88</v>
      </c>
      <c r="E21" s="34">
        <v>290587.88</v>
      </c>
      <c r="F21" s="34">
        <v>242200.24</v>
      </c>
      <c r="G21" s="23"/>
      <c r="H21" s="23"/>
      <c r="I21" s="23"/>
      <c r="J21" s="23"/>
      <c r="K21" s="23"/>
    </row>
    <row r="22" spans="1:11" x14ac:dyDescent="0.25">
      <c r="A22" s="31" t="s">
        <v>142</v>
      </c>
      <c r="B22" s="34">
        <v>993702.88</v>
      </c>
      <c r="C22" s="34">
        <v>993702.88</v>
      </c>
      <c r="D22" s="34">
        <v>819401.22</v>
      </c>
      <c r="E22" s="34">
        <v>819401.22</v>
      </c>
      <c r="F22" s="34">
        <v>658333.09</v>
      </c>
      <c r="G22" s="23"/>
      <c r="H22" s="23"/>
      <c r="I22" s="23"/>
      <c r="J22" s="23"/>
      <c r="K22" s="23"/>
    </row>
    <row r="23" spans="1:11" x14ac:dyDescent="0.25">
      <c r="A23" s="31" t="s">
        <v>143</v>
      </c>
      <c r="B23" s="34">
        <v>4431.92</v>
      </c>
      <c r="C23" s="34">
        <v>4431.91</v>
      </c>
      <c r="D23" s="34">
        <v>4030</v>
      </c>
      <c r="E23" s="34">
        <v>4030.01</v>
      </c>
      <c r="F23" s="34">
        <v>3607.2</v>
      </c>
      <c r="G23" s="23"/>
      <c r="H23" s="23"/>
      <c r="I23" s="23"/>
      <c r="J23" s="23"/>
      <c r="K23" s="23"/>
    </row>
    <row r="24" spans="1:11" x14ac:dyDescent="0.25">
      <c r="A24" s="31" t="s">
        <v>144</v>
      </c>
      <c r="B24" s="34">
        <v>53931.09</v>
      </c>
      <c r="C24" s="34">
        <v>53931.1</v>
      </c>
      <c r="D24" s="34">
        <v>49173.95</v>
      </c>
      <c r="E24" s="34">
        <v>49173.97</v>
      </c>
      <c r="F24" s="34">
        <v>36878.699999999997</v>
      </c>
      <c r="G24" s="23"/>
      <c r="H24" s="23"/>
      <c r="I24" s="23"/>
      <c r="J24" s="23"/>
      <c r="K24" s="23"/>
    </row>
    <row r="25" spans="1:11" x14ac:dyDescent="0.25">
      <c r="A25" s="26" t="s">
        <v>145</v>
      </c>
      <c r="B25" s="35">
        <v>1530511.26</v>
      </c>
      <c r="C25" s="35">
        <v>1530511.27</v>
      </c>
      <c r="D25" s="35">
        <v>1244540.69</v>
      </c>
      <c r="E25" s="35">
        <v>1244540.71</v>
      </c>
      <c r="F25" s="35">
        <v>1063934.32</v>
      </c>
      <c r="G25" s="23"/>
      <c r="H25" s="23"/>
      <c r="I25" s="23"/>
      <c r="J25" s="23"/>
      <c r="K25" s="23"/>
    </row>
    <row r="26" spans="1:11" ht="16" customHeight="1" x14ac:dyDescent="0.25">
      <c r="A26" s="160" t="s">
        <v>146</v>
      </c>
      <c r="B26" s="161"/>
      <c r="C26" s="29"/>
      <c r="D26" s="29"/>
      <c r="E26" s="29"/>
      <c r="F26" s="29"/>
      <c r="G26" s="23"/>
      <c r="H26" s="23"/>
      <c r="I26" s="23"/>
      <c r="J26" s="23"/>
      <c r="K26" s="23"/>
    </row>
    <row r="27" spans="1:11" x14ac:dyDescent="0.25">
      <c r="A27" s="31" t="s">
        <v>147</v>
      </c>
      <c r="B27" s="34">
        <v>5416</v>
      </c>
      <c r="C27" s="32">
        <v>0</v>
      </c>
      <c r="D27" s="34">
        <v>5103</v>
      </c>
      <c r="E27" s="32">
        <v>0</v>
      </c>
      <c r="F27" s="34">
        <v>4787</v>
      </c>
      <c r="G27" s="23"/>
      <c r="H27" s="23"/>
      <c r="I27" s="23"/>
      <c r="J27" s="23"/>
      <c r="K27" s="23"/>
    </row>
    <row r="28" spans="1:11" x14ac:dyDescent="0.25">
      <c r="A28" s="31" t="s">
        <v>148</v>
      </c>
      <c r="B28" s="34">
        <v>116971</v>
      </c>
      <c r="C28" s="32">
        <v>0</v>
      </c>
      <c r="D28" s="34">
        <v>98061</v>
      </c>
      <c r="E28" s="32">
        <v>0</v>
      </c>
      <c r="F28" s="34">
        <v>88253</v>
      </c>
      <c r="G28" s="23"/>
      <c r="H28" s="23"/>
      <c r="I28" s="23"/>
      <c r="J28" s="23"/>
      <c r="K28" s="23"/>
    </row>
    <row r="29" spans="1:11" x14ac:dyDescent="0.25">
      <c r="A29" s="31" t="s">
        <v>149</v>
      </c>
      <c r="B29" s="32">
        <v>19</v>
      </c>
      <c r="C29" s="32">
        <v>19</v>
      </c>
      <c r="D29" s="32">
        <v>17</v>
      </c>
      <c r="E29" s="32">
        <v>17</v>
      </c>
      <c r="F29" s="32">
        <v>15</v>
      </c>
      <c r="G29" s="23"/>
      <c r="H29" s="23"/>
      <c r="I29" s="23"/>
      <c r="J29" s="23"/>
      <c r="K29" s="23"/>
    </row>
    <row r="30" spans="1:11" x14ac:dyDescent="0.25">
      <c r="A30" s="160" t="s">
        <v>150</v>
      </c>
      <c r="B30" s="161"/>
      <c r="C30" s="29"/>
      <c r="D30" s="29"/>
      <c r="E30" s="29"/>
      <c r="F30" s="29"/>
      <c r="G30" s="23"/>
      <c r="H30" s="23"/>
      <c r="I30" s="23"/>
      <c r="J30" s="23"/>
      <c r="K30" s="23"/>
    </row>
    <row r="31" spans="1:11" x14ac:dyDescent="0.25">
      <c r="A31" s="31" t="s">
        <v>151</v>
      </c>
      <c r="B31" s="32">
        <v>17</v>
      </c>
      <c r="C31" s="32">
        <v>0</v>
      </c>
      <c r="D31" s="32">
        <v>16</v>
      </c>
      <c r="E31" s="32">
        <v>0</v>
      </c>
      <c r="F31" s="32">
        <v>13</v>
      </c>
      <c r="G31" s="23"/>
      <c r="H31" s="23"/>
      <c r="I31" s="23"/>
      <c r="J31" s="23"/>
      <c r="K31" s="23"/>
    </row>
    <row r="32" spans="1:11" x14ac:dyDescent="0.25">
      <c r="A32" s="31" t="s">
        <v>152</v>
      </c>
      <c r="B32" s="32">
        <v>1</v>
      </c>
      <c r="C32" s="32">
        <v>0</v>
      </c>
      <c r="D32" s="32">
        <v>1</v>
      </c>
      <c r="E32" s="32">
        <v>0</v>
      </c>
      <c r="F32" s="32">
        <v>2</v>
      </c>
      <c r="G32" s="23"/>
      <c r="H32" s="23"/>
      <c r="I32" s="23"/>
      <c r="J32" s="23"/>
      <c r="K32" s="23"/>
    </row>
    <row r="33" spans="1:11" x14ac:dyDescent="0.25">
      <c r="A33" s="160" t="s">
        <v>153</v>
      </c>
      <c r="B33" s="161"/>
      <c r="C33" s="29"/>
      <c r="D33" s="29"/>
      <c r="E33" s="29"/>
      <c r="F33" s="29"/>
      <c r="G33" s="23"/>
      <c r="H33" s="23"/>
      <c r="I33" s="23"/>
      <c r="J33" s="23"/>
      <c r="K33" s="23"/>
    </row>
    <row r="34" spans="1:11" x14ac:dyDescent="0.25">
      <c r="A34" s="31" t="s">
        <v>154</v>
      </c>
      <c r="B34" s="34">
        <v>12649.97</v>
      </c>
      <c r="C34" s="34">
        <v>12649.97</v>
      </c>
      <c r="D34" s="34">
        <v>11224.16</v>
      </c>
      <c r="E34" s="34">
        <v>11224.16</v>
      </c>
      <c r="F34" s="34">
        <v>8606.9699999999993</v>
      </c>
      <c r="G34" s="23"/>
      <c r="H34" s="23"/>
      <c r="I34" s="23"/>
      <c r="J34" s="23"/>
      <c r="K34" s="23"/>
    </row>
    <row r="35" spans="1:11" x14ac:dyDescent="0.25">
      <c r="A35" s="31" t="s">
        <v>155</v>
      </c>
      <c r="B35" s="32">
        <v>1</v>
      </c>
      <c r="C35" s="32">
        <v>1</v>
      </c>
      <c r="D35" s="32">
        <v>1</v>
      </c>
      <c r="E35" s="32">
        <v>1</v>
      </c>
      <c r="F35" s="32">
        <v>1</v>
      </c>
      <c r="G35" s="23"/>
      <c r="H35" s="23"/>
      <c r="I35" s="23"/>
      <c r="J35" s="23"/>
      <c r="K35" s="23"/>
    </row>
    <row r="36" spans="1:11" x14ac:dyDescent="0.25">
      <c r="A36" s="31" t="s">
        <v>156</v>
      </c>
      <c r="B36" s="34">
        <v>3542.36</v>
      </c>
      <c r="C36" s="34">
        <v>3542.36</v>
      </c>
      <c r="D36" s="34">
        <v>3214.52</v>
      </c>
      <c r="E36" s="34">
        <v>3214.52</v>
      </c>
      <c r="F36" s="34">
        <v>2601.02</v>
      </c>
      <c r="G36" s="23"/>
      <c r="H36" s="23"/>
      <c r="I36" s="23"/>
      <c r="J36" s="23"/>
      <c r="K36" s="23"/>
    </row>
    <row r="37" spans="1:11" x14ac:dyDescent="0.25">
      <c r="A37" s="31" t="s">
        <v>157</v>
      </c>
      <c r="B37" s="32">
        <v>0.36</v>
      </c>
      <c r="C37" s="32">
        <v>0</v>
      </c>
      <c r="D37" s="32">
        <v>0</v>
      </c>
      <c r="E37" s="32">
        <v>0</v>
      </c>
      <c r="F37" s="32">
        <v>0</v>
      </c>
      <c r="G37" s="23"/>
      <c r="H37" s="23"/>
      <c r="I37" s="23"/>
      <c r="J37" s="23"/>
      <c r="K37" s="23"/>
    </row>
    <row r="38" spans="1:11" x14ac:dyDescent="0.25">
      <c r="A38" s="31" t="s">
        <v>158</v>
      </c>
      <c r="B38" s="32">
        <v>0</v>
      </c>
      <c r="C38" s="32">
        <v>2</v>
      </c>
      <c r="D38" s="32">
        <v>0</v>
      </c>
      <c r="E38" s="32">
        <v>2</v>
      </c>
      <c r="F38" s="32">
        <v>0</v>
      </c>
      <c r="G38" s="23"/>
      <c r="H38" s="23"/>
      <c r="I38" s="23"/>
      <c r="J38" s="23"/>
      <c r="K38" s="23"/>
    </row>
    <row r="39" spans="1:11" ht="16" customHeight="1" x14ac:dyDescent="0.25">
      <c r="A39" s="160" t="s">
        <v>159</v>
      </c>
      <c r="B39" s="161"/>
      <c r="C39" s="29"/>
      <c r="D39" s="29"/>
      <c r="E39" s="29"/>
      <c r="F39" s="29"/>
      <c r="G39" s="23"/>
      <c r="H39" s="23"/>
      <c r="I39" s="23"/>
      <c r="J39" s="23"/>
      <c r="K39" s="23"/>
    </row>
    <row r="40" spans="1:11" x14ac:dyDescent="0.25">
      <c r="A40" s="31" t="s">
        <v>160</v>
      </c>
      <c r="B40" s="34">
        <v>51584.9</v>
      </c>
      <c r="C40" s="32">
        <v>0</v>
      </c>
      <c r="D40" s="34">
        <v>49952.800000000003</v>
      </c>
      <c r="E40" s="32">
        <v>0</v>
      </c>
      <c r="F40" s="34">
        <v>42753.83</v>
      </c>
      <c r="G40" s="23"/>
      <c r="H40" s="23"/>
      <c r="I40" s="23"/>
      <c r="J40" s="23"/>
      <c r="K40" s="23"/>
    </row>
    <row r="41" spans="1:11" x14ac:dyDescent="0.25">
      <c r="A41" s="31" t="s">
        <v>161</v>
      </c>
      <c r="B41" s="34">
        <v>1128953.3999999999</v>
      </c>
      <c r="C41" s="32">
        <v>0</v>
      </c>
      <c r="D41" s="34">
        <v>1024715.12</v>
      </c>
      <c r="E41" s="32">
        <v>0</v>
      </c>
      <c r="F41" s="34">
        <v>875488.23</v>
      </c>
      <c r="G41" s="23"/>
      <c r="H41" s="23"/>
      <c r="I41" s="23"/>
      <c r="J41" s="23"/>
      <c r="K41" s="23"/>
    </row>
    <row r="42" spans="1:11" x14ac:dyDescent="0.25">
      <c r="A42" s="36"/>
      <c r="B42" s="37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25">
      <c r="A43" s="164"/>
      <c r="B43" s="164"/>
      <c r="C43" s="164"/>
      <c r="D43" s="164"/>
      <c r="E43" s="164"/>
      <c r="F43" s="164"/>
      <c r="G43" s="23"/>
      <c r="H43" s="23"/>
      <c r="I43" s="23"/>
      <c r="J43" s="23"/>
      <c r="K43" s="23"/>
    </row>
    <row r="44" spans="1:11" x14ac:dyDescent="0.25">
      <c r="A44" s="163"/>
      <c r="B44" s="163"/>
      <c r="C44" s="163"/>
      <c r="D44" s="163"/>
      <c r="E44" s="163"/>
      <c r="F44" s="163"/>
      <c r="G44" s="23"/>
      <c r="H44" s="23"/>
      <c r="I44" s="23"/>
      <c r="J44" s="23"/>
      <c r="K44" s="23"/>
    </row>
    <row r="45" spans="1:11" x14ac:dyDescent="0.25">
      <c r="A45" s="165" t="s">
        <v>162</v>
      </c>
      <c r="B45" s="165"/>
      <c r="C45" s="165"/>
      <c r="D45" s="165"/>
      <c r="E45" s="165"/>
      <c r="F45" s="165"/>
      <c r="G45" s="23"/>
      <c r="H45" s="23"/>
      <c r="I45" s="23"/>
      <c r="J45" s="23"/>
      <c r="K45" s="23"/>
    </row>
    <row r="46" spans="1:11" x14ac:dyDescent="0.25">
      <c r="A46" s="163"/>
      <c r="B46" s="163"/>
      <c r="C46" s="163"/>
      <c r="D46" s="163"/>
      <c r="E46" s="163"/>
      <c r="F46" s="163"/>
      <c r="G46" s="23"/>
      <c r="H46" s="23"/>
      <c r="I46" s="23"/>
      <c r="J46" s="23"/>
      <c r="K46" s="23"/>
    </row>
    <row r="47" spans="1:11" x14ac:dyDescent="0.25">
      <c r="A47" s="38"/>
    </row>
  </sheetData>
  <mergeCells count="13">
    <mergeCell ref="A46:F46"/>
    <mergeCell ref="A30:B30"/>
    <mergeCell ref="A33:B33"/>
    <mergeCell ref="A39:B39"/>
    <mergeCell ref="A43:F43"/>
    <mergeCell ref="A44:F44"/>
    <mergeCell ref="A45:F45"/>
    <mergeCell ref="A26:B26"/>
    <mergeCell ref="A4:K4"/>
    <mergeCell ref="A6:K6"/>
    <mergeCell ref="A7:B7"/>
    <mergeCell ref="A8:B8"/>
    <mergeCell ref="A18:B18"/>
  </mergeCells>
  <hyperlinks>
    <hyperlink ref="B1" r:id="rId1" display="javascript:void(0);"/>
  </hyperlink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H2" sqref="H2"/>
    </sheetView>
  </sheetViews>
  <sheetFormatPr defaultRowHeight="12.5" x14ac:dyDescent="0.25"/>
  <cols>
    <col min="1" max="1" width="18.36328125" customWidth="1"/>
    <col min="2" max="2" width="16.90625" customWidth="1"/>
  </cols>
  <sheetData>
    <row r="1" spans="1:11" ht="13" x14ac:dyDescent="0.25">
      <c r="A1" s="24" t="s">
        <v>121</v>
      </c>
      <c r="B1" s="25" t="s">
        <v>122</v>
      </c>
    </row>
    <row r="2" spans="1:11" ht="16" x14ac:dyDescent="0.25">
      <c r="A2" s="26" t="s">
        <v>163</v>
      </c>
      <c r="B2" s="27" t="s">
        <v>124</v>
      </c>
    </row>
    <row r="3" spans="1:11" x14ac:dyDescent="0.25">
      <c r="A3" s="39"/>
      <c r="B3" s="40" t="s">
        <v>125</v>
      </c>
      <c r="C3" s="41">
        <v>44274</v>
      </c>
      <c r="D3" s="41">
        <v>44273</v>
      </c>
      <c r="E3" s="41">
        <v>44272</v>
      </c>
      <c r="F3" s="41">
        <v>44271</v>
      </c>
      <c r="G3" s="23"/>
      <c r="H3" s="23"/>
      <c r="I3" s="23"/>
      <c r="J3" s="23"/>
      <c r="K3" s="23"/>
    </row>
    <row r="4" spans="1:11" x14ac:dyDescent="0.2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</row>
    <row r="5" spans="1:11" x14ac:dyDescent="0.25">
      <c r="A5" s="42"/>
      <c r="B5" s="43" t="s">
        <v>126</v>
      </c>
      <c r="C5" s="43" t="s">
        <v>126</v>
      </c>
      <c r="D5" s="43" t="s">
        <v>126</v>
      </c>
      <c r="E5" s="43" t="s">
        <v>126</v>
      </c>
      <c r="F5" s="43" t="s">
        <v>126</v>
      </c>
      <c r="G5" s="23"/>
      <c r="H5" s="23"/>
      <c r="I5" s="23"/>
      <c r="J5" s="23"/>
      <c r="K5" s="23"/>
    </row>
    <row r="6" spans="1:11" x14ac:dyDescent="0.25">
      <c r="A6" s="169"/>
      <c r="B6" s="169"/>
      <c r="C6" s="169"/>
      <c r="D6" s="169"/>
      <c r="E6" s="169"/>
      <c r="F6" s="169"/>
      <c r="G6" s="169"/>
      <c r="H6" s="169"/>
      <c r="I6" s="169"/>
      <c r="J6" s="169"/>
      <c r="K6" s="169"/>
    </row>
    <row r="7" spans="1:11" x14ac:dyDescent="0.25">
      <c r="A7" s="166" t="s">
        <v>164</v>
      </c>
      <c r="B7" s="167"/>
      <c r="C7" s="40"/>
      <c r="D7" s="40"/>
      <c r="E7" s="40"/>
      <c r="F7" s="40"/>
      <c r="G7" s="23"/>
      <c r="H7" s="23"/>
      <c r="I7" s="23"/>
      <c r="J7" s="23"/>
      <c r="K7" s="23"/>
    </row>
    <row r="8" spans="1:11" ht="16" x14ac:dyDescent="0.25">
      <c r="A8" s="42" t="s">
        <v>165</v>
      </c>
      <c r="B8" s="44">
        <v>91787.88</v>
      </c>
      <c r="C8" s="44">
        <v>77544.19</v>
      </c>
      <c r="D8" s="44">
        <v>62661.79</v>
      </c>
      <c r="E8" s="44">
        <v>52055.26</v>
      </c>
      <c r="F8" s="44">
        <v>44827.86</v>
      </c>
      <c r="G8" s="23"/>
      <c r="H8" s="23"/>
      <c r="I8" s="23"/>
      <c r="J8" s="23"/>
      <c r="K8" s="23"/>
    </row>
    <row r="9" spans="1:11" x14ac:dyDescent="0.25">
      <c r="A9" s="42" t="s">
        <v>166</v>
      </c>
      <c r="B9" s="44">
        <v>20633.32</v>
      </c>
      <c r="C9" s="44">
        <v>19997.46</v>
      </c>
      <c r="D9" s="44">
        <v>16222.37</v>
      </c>
      <c r="E9" s="44">
        <v>15944.34</v>
      </c>
      <c r="F9" s="44">
        <v>14120.03</v>
      </c>
      <c r="G9" s="23"/>
      <c r="H9" s="23"/>
      <c r="I9" s="23"/>
      <c r="J9" s="23"/>
      <c r="K9" s="23"/>
    </row>
    <row r="10" spans="1:11" ht="16" x14ac:dyDescent="0.25">
      <c r="A10" s="42" t="s">
        <v>167</v>
      </c>
      <c r="B10" s="44">
        <v>1828.93</v>
      </c>
      <c r="C10" s="43">
        <v>635.70000000000005</v>
      </c>
      <c r="D10" s="43">
        <v>523.88</v>
      </c>
      <c r="E10" s="43">
        <v>532.02</v>
      </c>
      <c r="F10" s="43">
        <v>361.61</v>
      </c>
      <c r="G10" s="23"/>
      <c r="H10" s="23"/>
      <c r="I10" s="23"/>
      <c r="J10" s="23"/>
      <c r="K10" s="23"/>
    </row>
    <row r="11" spans="1:11" x14ac:dyDescent="0.25">
      <c r="A11" s="42" t="s">
        <v>168</v>
      </c>
      <c r="B11" s="43">
        <v>562.52</v>
      </c>
      <c r="C11" s="43">
        <v>794.7</v>
      </c>
      <c r="D11" s="43">
        <v>833.31</v>
      </c>
      <c r="E11" s="43">
        <v>774.34</v>
      </c>
      <c r="F11" s="43">
        <v>911.95</v>
      </c>
      <c r="G11" s="23"/>
      <c r="H11" s="23"/>
      <c r="I11" s="23"/>
      <c r="J11" s="23"/>
      <c r="K11" s="23"/>
    </row>
    <row r="12" spans="1:11" x14ac:dyDescent="0.25">
      <c r="A12" s="45" t="s">
        <v>169</v>
      </c>
      <c r="B12" s="46">
        <v>114812.65</v>
      </c>
      <c r="C12" s="46">
        <v>98972.05</v>
      </c>
      <c r="D12" s="46">
        <v>80241.36</v>
      </c>
      <c r="E12" s="46">
        <v>69305.960000000006</v>
      </c>
      <c r="F12" s="46">
        <v>60221.45</v>
      </c>
      <c r="G12" s="23"/>
      <c r="H12" s="23"/>
      <c r="I12" s="23"/>
      <c r="J12" s="23"/>
      <c r="K12" s="23"/>
    </row>
    <row r="13" spans="1:11" x14ac:dyDescent="0.25">
      <c r="A13" s="42" t="s">
        <v>170</v>
      </c>
      <c r="B13" s="44">
        <v>23260.82</v>
      </c>
      <c r="C13" s="44">
        <v>17625.88</v>
      </c>
      <c r="D13" s="44">
        <v>15220.3</v>
      </c>
      <c r="E13" s="44">
        <v>12296.5</v>
      </c>
      <c r="F13" s="44">
        <v>10751.72</v>
      </c>
      <c r="G13" s="23"/>
      <c r="H13" s="23"/>
      <c r="I13" s="23"/>
      <c r="J13" s="23"/>
      <c r="K13" s="23"/>
    </row>
    <row r="14" spans="1:11" x14ac:dyDescent="0.25">
      <c r="A14" s="45" t="s">
        <v>171</v>
      </c>
      <c r="B14" s="46">
        <v>138073.47</v>
      </c>
      <c r="C14" s="46">
        <v>116597.94</v>
      </c>
      <c r="D14" s="46">
        <v>95461.66</v>
      </c>
      <c r="E14" s="46">
        <v>81602.460000000006</v>
      </c>
      <c r="F14" s="46">
        <v>70973.17</v>
      </c>
      <c r="G14" s="23"/>
      <c r="H14" s="23"/>
      <c r="I14" s="23"/>
      <c r="J14" s="23"/>
      <c r="K14" s="23"/>
    </row>
    <row r="15" spans="1:11" x14ac:dyDescent="0.25">
      <c r="A15" s="166" t="s">
        <v>172</v>
      </c>
      <c r="B15" s="167"/>
      <c r="C15" s="40"/>
      <c r="D15" s="40"/>
      <c r="E15" s="40"/>
      <c r="F15" s="40"/>
      <c r="G15" s="23"/>
      <c r="H15" s="23"/>
      <c r="I15" s="23"/>
      <c r="J15" s="23"/>
      <c r="K15" s="23"/>
    </row>
    <row r="16" spans="1:11" x14ac:dyDescent="0.25">
      <c r="A16" s="42" t="s">
        <v>173</v>
      </c>
      <c r="B16" s="44">
        <v>58626.400000000001</v>
      </c>
      <c r="C16" s="44">
        <v>50728.83</v>
      </c>
      <c r="D16" s="44">
        <v>40146.49</v>
      </c>
      <c r="E16" s="44">
        <v>36166.730000000003</v>
      </c>
      <c r="F16" s="44">
        <v>32629.93</v>
      </c>
      <c r="G16" s="23"/>
      <c r="H16" s="23"/>
      <c r="I16" s="23"/>
      <c r="J16" s="23"/>
      <c r="K16" s="23"/>
    </row>
    <row r="17" spans="1:11" ht="16" x14ac:dyDescent="0.25">
      <c r="A17" s="42" t="s">
        <v>174</v>
      </c>
      <c r="B17" s="44">
        <v>9525.67</v>
      </c>
      <c r="C17" s="44">
        <v>7761.76</v>
      </c>
      <c r="D17" s="44">
        <v>6805.74</v>
      </c>
      <c r="E17" s="44">
        <v>6483.66</v>
      </c>
      <c r="F17" s="44">
        <v>5702.2</v>
      </c>
      <c r="G17" s="23"/>
      <c r="H17" s="23"/>
      <c r="I17" s="23"/>
      <c r="J17" s="23"/>
      <c r="K17" s="23"/>
    </row>
    <row r="18" spans="1:11" x14ac:dyDescent="0.25">
      <c r="A18" s="42" t="s">
        <v>175</v>
      </c>
      <c r="B18" s="44">
        <v>1195.8499999999999</v>
      </c>
      <c r="C18" s="44">
        <v>1140.0999999999999</v>
      </c>
      <c r="D18" s="43">
        <v>906.34</v>
      </c>
      <c r="E18" s="43">
        <v>833.12</v>
      </c>
      <c r="F18" s="43">
        <v>705.84</v>
      </c>
      <c r="G18" s="23"/>
      <c r="H18" s="23"/>
      <c r="I18" s="23"/>
      <c r="J18" s="23"/>
      <c r="K18" s="23"/>
    </row>
    <row r="19" spans="1:11" ht="16" x14ac:dyDescent="0.25">
      <c r="A19" s="42" t="s">
        <v>176</v>
      </c>
      <c r="B19" s="44">
        <v>19976.009999999998</v>
      </c>
      <c r="C19" s="44">
        <v>17217.509999999998</v>
      </c>
      <c r="D19" s="44">
        <v>14978.3</v>
      </c>
      <c r="E19" s="44">
        <v>12386.55</v>
      </c>
      <c r="F19" s="44">
        <v>10571.66</v>
      </c>
      <c r="G19" s="23"/>
      <c r="H19" s="23"/>
      <c r="I19" s="23"/>
      <c r="J19" s="23"/>
      <c r="K19" s="23"/>
    </row>
    <row r="20" spans="1:11" x14ac:dyDescent="0.25">
      <c r="A20" s="45" t="s">
        <v>177</v>
      </c>
      <c r="B20" s="46">
        <v>30697.53</v>
      </c>
      <c r="C20" s="46">
        <v>26119.37</v>
      </c>
      <c r="D20" s="46">
        <v>22690.38</v>
      </c>
      <c r="E20" s="46">
        <v>19703.34</v>
      </c>
      <c r="F20" s="46">
        <v>16979.7</v>
      </c>
      <c r="G20" s="23"/>
      <c r="H20" s="23"/>
      <c r="I20" s="23"/>
      <c r="J20" s="23"/>
      <c r="K20" s="23"/>
    </row>
    <row r="21" spans="1:11" x14ac:dyDescent="0.25">
      <c r="A21" s="42" t="s">
        <v>178</v>
      </c>
      <c r="B21" s="44">
        <v>9833.15</v>
      </c>
      <c r="C21" s="44">
        <v>12129.61</v>
      </c>
      <c r="D21" s="44">
        <v>10107.25</v>
      </c>
      <c r="E21" s="44">
        <v>7916.97</v>
      </c>
      <c r="F21" s="44">
        <v>6507.59</v>
      </c>
      <c r="G21" s="23"/>
      <c r="H21" s="23"/>
      <c r="I21" s="23"/>
      <c r="J21" s="23"/>
      <c r="K21" s="23"/>
    </row>
    <row r="22" spans="1:11" x14ac:dyDescent="0.25">
      <c r="A22" s="42" t="s">
        <v>179</v>
      </c>
      <c r="B22" s="43">
        <v>516.69000000000005</v>
      </c>
      <c r="C22" s="44">
        <v>-1008.12</v>
      </c>
      <c r="D22" s="43">
        <v>-896.68</v>
      </c>
      <c r="E22" s="43">
        <v>-327.54000000000002</v>
      </c>
      <c r="F22" s="43">
        <v>-165.88</v>
      </c>
      <c r="G22" s="23"/>
      <c r="H22" s="23"/>
      <c r="I22" s="23"/>
      <c r="J22" s="23"/>
      <c r="K22" s="23"/>
    </row>
    <row r="23" spans="1:11" ht="16" x14ac:dyDescent="0.25">
      <c r="A23" s="42" t="s">
        <v>180</v>
      </c>
      <c r="B23" s="44">
        <v>12142.39</v>
      </c>
      <c r="C23" s="44">
        <v>7550.08</v>
      </c>
      <c r="D23" s="44">
        <v>5927.49</v>
      </c>
      <c r="E23" s="44">
        <v>3593.31</v>
      </c>
      <c r="F23" s="44">
        <v>2725.61</v>
      </c>
      <c r="G23" s="23"/>
      <c r="H23" s="23"/>
      <c r="I23" s="23"/>
      <c r="J23" s="23"/>
      <c r="K23" s="23"/>
    </row>
    <row r="24" spans="1:11" ht="16" x14ac:dyDescent="0.25">
      <c r="A24" s="45" t="s">
        <v>181</v>
      </c>
      <c r="B24" s="46">
        <v>22492.23</v>
      </c>
      <c r="C24" s="46">
        <v>18671.57</v>
      </c>
      <c r="D24" s="46">
        <v>15138.06</v>
      </c>
      <c r="E24" s="46">
        <v>11182.74</v>
      </c>
      <c r="F24" s="46">
        <v>9067.32</v>
      </c>
      <c r="G24" s="23"/>
      <c r="H24" s="23"/>
      <c r="I24" s="23"/>
      <c r="J24" s="23"/>
      <c r="K24" s="23"/>
    </row>
    <row r="25" spans="1:11" x14ac:dyDescent="0.25">
      <c r="A25" s="45" t="s">
        <v>182</v>
      </c>
      <c r="B25" s="46">
        <v>111816.15</v>
      </c>
      <c r="C25" s="46">
        <v>95519.77</v>
      </c>
      <c r="D25" s="46">
        <v>77974.929999999993</v>
      </c>
      <c r="E25" s="46">
        <v>67052.820000000007</v>
      </c>
      <c r="F25" s="46">
        <v>58676.959999999999</v>
      </c>
      <c r="G25" s="23"/>
      <c r="H25" s="23"/>
      <c r="I25" s="23"/>
      <c r="J25" s="23"/>
      <c r="K25" s="23"/>
    </row>
    <row r="26" spans="1:11" x14ac:dyDescent="0.25">
      <c r="A26" s="45" t="s">
        <v>183</v>
      </c>
      <c r="B26" s="46">
        <v>26257.32</v>
      </c>
      <c r="C26" s="46">
        <v>21078.17</v>
      </c>
      <c r="D26" s="46">
        <v>17486.73</v>
      </c>
      <c r="E26" s="46">
        <v>14549.64</v>
      </c>
      <c r="F26" s="46">
        <v>12296.21</v>
      </c>
      <c r="G26" s="23"/>
      <c r="H26" s="23"/>
      <c r="I26" s="23"/>
      <c r="J26" s="23"/>
      <c r="K26" s="23"/>
    </row>
    <row r="27" spans="1:11" ht="16" x14ac:dyDescent="0.25">
      <c r="A27" s="39" t="s">
        <v>184</v>
      </c>
      <c r="B27" s="47">
        <v>26257.32</v>
      </c>
      <c r="C27" s="47">
        <v>21078.17</v>
      </c>
      <c r="D27" s="47">
        <v>17486.73</v>
      </c>
      <c r="E27" s="47">
        <v>14549.64</v>
      </c>
      <c r="F27" s="47">
        <v>12296.21</v>
      </c>
      <c r="G27" s="23"/>
      <c r="H27" s="23"/>
      <c r="I27" s="23"/>
      <c r="J27" s="23"/>
      <c r="K27" s="23"/>
    </row>
    <row r="28" spans="1:11" x14ac:dyDescent="0.25">
      <c r="A28" s="42" t="s">
        <v>185</v>
      </c>
      <c r="B28" s="44">
        <v>49223.3</v>
      </c>
      <c r="C28" s="44">
        <v>40453.42</v>
      </c>
      <c r="D28" s="44">
        <v>32668.94</v>
      </c>
      <c r="E28" s="44">
        <v>23527.69</v>
      </c>
      <c r="F28" s="44">
        <v>18627.79</v>
      </c>
      <c r="G28" s="23"/>
      <c r="H28" s="23"/>
      <c r="I28" s="23"/>
      <c r="J28" s="23"/>
      <c r="K28" s="23"/>
    </row>
    <row r="29" spans="1:11" ht="16" x14ac:dyDescent="0.25">
      <c r="A29" s="45" t="s">
        <v>186</v>
      </c>
      <c r="B29" s="46">
        <v>75480.62</v>
      </c>
      <c r="C29" s="46">
        <v>61531.58</v>
      </c>
      <c r="D29" s="46">
        <v>50155.67</v>
      </c>
      <c r="E29" s="46">
        <v>38077.33</v>
      </c>
      <c r="F29" s="46">
        <v>30924.01</v>
      </c>
      <c r="G29" s="23"/>
      <c r="H29" s="23"/>
      <c r="I29" s="23"/>
      <c r="J29" s="23"/>
      <c r="K29" s="23"/>
    </row>
    <row r="30" spans="1:11" x14ac:dyDescent="0.25">
      <c r="A30" s="166" t="s">
        <v>187</v>
      </c>
      <c r="B30" s="167"/>
      <c r="C30" s="40"/>
      <c r="D30" s="40"/>
      <c r="E30" s="40"/>
      <c r="F30" s="40"/>
      <c r="G30" s="23"/>
      <c r="H30" s="23"/>
      <c r="I30" s="23"/>
      <c r="J30" s="23"/>
      <c r="K30" s="23"/>
    </row>
    <row r="31" spans="1:11" ht="16" x14ac:dyDescent="0.25">
      <c r="A31" s="42" t="s">
        <v>188</v>
      </c>
      <c r="B31" s="44">
        <v>6564.33</v>
      </c>
      <c r="C31" s="44">
        <v>5269.54</v>
      </c>
      <c r="D31" s="44">
        <v>4371.68</v>
      </c>
      <c r="E31" s="44">
        <v>3637.41</v>
      </c>
      <c r="F31" s="44">
        <v>3074.05</v>
      </c>
      <c r="G31" s="23"/>
      <c r="H31" s="23"/>
      <c r="I31" s="23"/>
      <c r="J31" s="23"/>
      <c r="K31" s="23"/>
    </row>
    <row r="32" spans="1:11" x14ac:dyDescent="0.25">
      <c r="A32" s="42" t="s">
        <v>189</v>
      </c>
      <c r="B32" s="44">
        <v>1123.8499999999999</v>
      </c>
      <c r="C32" s="43">
        <v>105.34</v>
      </c>
      <c r="D32" s="43">
        <v>235.52</v>
      </c>
      <c r="E32" s="43">
        <v>313.41000000000003</v>
      </c>
      <c r="F32" s="43">
        <v>222.15</v>
      </c>
      <c r="G32" s="23"/>
      <c r="H32" s="23"/>
      <c r="I32" s="23"/>
      <c r="J32" s="23"/>
      <c r="K32" s="23"/>
    </row>
    <row r="33" spans="1:11" ht="16" x14ac:dyDescent="0.25">
      <c r="A33" s="42" t="s">
        <v>190</v>
      </c>
      <c r="B33" s="44">
        <v>2625.73</v>
      </c>
      <c r="C33" s="44">
        <v>2107.8200000000002</v>
      </c>
      <c r="D33" s="44">
        <v>1748.67</v>
      </c>
      <c r="E33" s="44">
        <v>1454.96</v>
      </c>
      <c r="F33" s="44">
        <v>1229.6199999999999</v>
      </c>
      <c r="G33" s="23"/>
      <c r="H33" s="23"/>
      <c r="I33" s="23"/>
      <c r="J33" s="23"/>
      <c r="K33" s="23"/>
    </row>
    <row r="34" spans="1:11" ht="16" x14ac:dyDescent="0.25">
      <c r="A34" s="42" t="s">
        <v>191</v>
      </c>
      <c r="B34" s="44">
        <v>1134</v>
      </c>
      <c r="C34" s="43">
        <v>773</v>
      </c>
      <c r="D34" s="43">
        <v>-44.2</v>
      </c>
      <c r="E34" s="43">
        <v>4.29</v>
      </c>
      <c r="F34" s="43">
        <v>-8.52</v>
      </c>
      <c r="G34" s="23"/>
      <c r="H34" s="23"/>
      <c r="I34" s="23"/>
      <c r="J34" s="23"/>
      <c r="K34" s="23"/>
    </row>
    <row r="35" spans="1:11" ht="16" x14ac:dyDescent="0.25">
      <c r="A35" s="42" t="s">
        <v>192</v>
      </c>
      <c r="B35" s="43">
        <v>0</v>
      </c>
      <c r="C35" s="43">
        <v>0</v>
      </c>
      <c r="D35" s="44">
        <v>3390.58</v>
      </c>
      <c r="E35" s="43">
        <v>-1.69</v>
      </c>
      <c r="F35" s="43">
        <v>-11.71</v>
      </c>
      <c r="G35" s="23"/>
      <c r="H35" s="23"/>
      <c r="I35" s="23"/>
      <c r="J35" s="23"/>
      <c r="K35" s="23"/>
    </row>
    <row r="36" spans="1:11" x14ac:dyDescent="0.25">
      <c r="A36" s="42" t="s">
        <v>193</v>
      </c>
      <c r="B36" s="44">
        <v>6540.31</v>
      </c>
      <c r="C36" s="44">
        <v>4052.59</v>
      </c>
      <c r="D36" s="43">
        <v>0</v>
      </c>
      <c r="E36" s="43">
        <v>0</v>
      </c>
      <c r="F36" s="44">
        <v>2401.7800000000002</v>
      </c>
      <c r="G36" s="23"/>
      <c r="H36" s="23"/>
      <c r="I36" s="23"/>
      <c r="J36" s="23"/>
      <c r="K36" s="23"/>
    </row>
    <row r="37" spans="1:11" x14ac:dyDescent="0.25">
      <c r="A37" s="42" t="s">
        <v>194</v>
      </c>
      <c r="B37" s="43">
        <v>0</v>
      </c>
      <c r="C37" s="43">
        <v>0</v>
      </c>
      <c r="D37" s="43">
        <v>0</v>
      </c>
      <c r="E37" s="43">
        <v>0</v>
      </c>
      <c r="F37" s="43">
        <v>488.95</v>
      </c>
      <c r="G37" s="23"/>
      <c r="H37" s="23"/>
      <c r="I37" s="23"/>
      <c r="J37" s="23"/>
      <c r="K37" s="23"/>
    </row>
    <row r="38" spans="1:11" ht="16" x14ac:dyDescent="0.25">
      <c r="A38" s="42" t="s">
        <v>195</v>
      </c>
      <c r="B38" s="44">
        <v>57492.4</v>
      </c>
      <c r="C38" s="44">
        <v>49223.3</v>
      </c>
      <c r="D38" s="44">
        <v>40453.42</v>
      </c>
      <c r="E38" s="44">
        <v>32668.94</v>
      </c>
      <c r="F38" s="44">
        <v>23527.69</v>
      </c>
      <c r="G38" s="23"/>
      <c r="H38" s="23"/>
      <c r="I38" s="23"/>
      <c r="J38" s="23"/>
      <c r="K38" s="23"/>
    </row>
    <row r="39" spans="1:11" x14ac:dyDescent="0.25">
      <c r="A39" s="45" t="s">
        <v>196</v>
      </c>
      <c r="B39" s="46">
        <v>75480.62</v>
      </c>
      <c r="C39" s="46">
        <v>61531.58</v>
      </c>
      <c r="D39" s="46">
        <v>50155.67</v>
      </c>
      <c r="E39" s="46">
        <v>38077.33</v>
      </c>
      <c r="F39" s="46">
        <v>30924.01</v>
      </c>
      <c r="G39" s="23"/>
      <c r="H39" s="23"/>
      <c r="I39" s="23"/>
      <c r="J39" s="23"/>
      <c r="K39" s="23"/>
    </row>
    <row r="40" spans="1:11" x14ac:dyDescent="0.25">
      <c r="A40" s="166" t="s">
        <v>197</v>
      </c>
      <c r="B40" s="167"/>
      <c r="C40" s="40"/>
      <c r="D40" s="40"/>
      <c r="E40" s="40"/>
      <c r="F40" s="40"/>
      <c r="G40" s="23"/>
      <c r="H40" s="23"/>
      <c r="I40" s="23"/>
      <c r="J40" s="23"/>
      <c r="K40" s="23"/>
    </row>
    <row r="41" spans="1:11" x14ac:dyDescent="0.25">
      <c r="A41" s="166" t="s">
        <v>198</v>
      </c>
      <c r="B41" s="167"/>
      <c r="C41" s="40"/>
      <c r="D41" s="40"/>
      <c r="E41" s="40"/>
      <c r="F41" s="40"/>
      <c r="G41" s="23"/>
      <c r="H41" s="23"/>
      <c r="I41" s="23"/>
      <c r="J41" s="23"/>
      <c r="K41" s="23"/>
    </row>
    <row r="42" spans="1:11" x14ac:dyDescent="0.25">
      <c r="A42" s="42" t="s">
        <v>199</v>
      </c>
      <c r="B42" s="43">
        <v>48.01</v>
      </c>
      <c r="C42" s="43">
        <v>78.650000000000006</v>
      </c>
      <c r="D42" s="43">
        <v>67.760000000000005</v>
      </c>
      <c r="E42" s="43">
        <v>57.18</v>
      </c>
      <c r="F42" s="43">
        <v>48.84</v>
      </c>
      <c r="G42" s="23"/>
      <c r="H42" s="23"/>
      <c r="I42" s="23"/>
      <c r="J42" s="23"/>
      <c r="K42" s="23"/>
    </row>
    <row r="43" spans="1:11" x14ac:dyDescent="0.25">
      <c r="A43" s="42" t="s">
        <v>200</v>
      </c>
      <c r="B43" s="43">
        <v>47.66</v>
      </c>
      <c r="C43" s="43">
        <v>77.87</v>
      </c>
      <c r="D43" s="43">
        <v>66.84</v>
      </c>
      <c r="E43" s="43">
        <v>56.43</v>
      </c>
      <c r="F43" s="43">
        <v>48.26</v>
      </c>
      <c r="G43" s="23"/>
      <c r="H43" s="23"/>
      <c r="I43" s="23"/>
      <c r="J43" s="23"/>
      <c r="K43" s="23"/>
    </row>
    <row r="44" spans="1:11" x14ac:dyDescent="0.25">
      <c r="A44" s="166" t="s">
        <v>201</v>
      </c>
      <c r="B44" s="167"/>
      <c r="C44" s="40"/>
      <c r="D44" s="40"/>
      <c r="E44" s="40"/>
      <c r="F44" s="40"/>
      <c r="G44" s="23"/>
      <c r="H44" s="23"/>
      <c r="I44" s="23"/>
      <c r="J44" s="23"/>
      <c r="K44" s="23"/>
    </row>
    <row r="45" spans="1:11" x14ac:dyDescent="0.25">
      <c r="A45" s="42" t="s">
        <v>202</v>
      </c>
      <c r="B45" s="43">
        <v>250</v>
      </c>
      <c r="C45" s="43">
        <v>750</v>
      </c>
      <c r="D45" s="43">
        <v>650</v>
      </c>
      <c r="E45" s="43">
        <v>550</v>
      </c>
      <c r="F45" s="43">
        <v>475</v>
      </c>
      <c r="G45" s="23"/>
      <c r="H45" s="23"/>
      <c r="I45" s="23"/>
      <c r="J45" s="23"/>
      <c r="K45" s="23"/>
    </row>
    <row r="46" spans="1:11" ht="17.5" x14ac:dyDescent="0.25">
      <c r="A46" s="48"/>
      <c r="B46" s="49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25">
      <c r="A47" s="168"/>
      <c r="B47" s="168"/>
      <c r="C47" s="168"/>
      <c r="D47" s="168"/>
      <c r="E47" s="168"/>
      <c r="F47" s="168"/>
      <c r="G47" s="23"/>
      <c r="H47" s="23"/>
      <c r="I47" s="23"/>
      <c r="J47" s="23"/>
      <c r="K47" s="23"/>
    </row>
    <row r="48" spans="1:11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</sheetData>
  <mergeCells count="9">
    <mergeCell ref="A41:B41"/>
    <mergeCell ref="A44:B44"/>
    <mergeCell ref="A47:F47"/>
    <mergeCell ref="A4:K4"/>
    <mergeCell ref="A6:K6"/>
    <mergeCell ref="A7:B7"/>
    <mergeCell ref="A15:B15"/>
    <mergeCell ref="A30:B30"/>
    <mergeCell ref="A40:B40"/>
  </mergeCells>
  <hyperlinks>
    <hyperlink ref="B1" r:id="rId1" display="javascript:void(0);"/>
  </hyperlink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Q3" sqref="Q3"/>
    </sheetView>
  </sheetViews>
  <sheetFormatPr defaultRowHeight="12.5" x14ac:dyDescent="0.25"/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Sheet1</vt:lpstr>
      <vt:lpstr>April-2019 (2)</vt:lpstr>
      <vt:lpstr>April-2018 (2)</vt:lpstr>
      <vt:lpstr>2018-final</vt:lpstr>
      <vt:lpstr>April-2019</vt:lpstr>
      <vt:lpstr>April-2018</vt:lpstr>
      <vt:lpstr>Balance sheet </vt:lpstr>
      <vt:lpstr>Income statement</vt:lpstr>
      <vt:lpstr>To do sheet</vt:lpstr>
      <vt:lpstr>'April-2019'!Print_Titles</vt:lpstr>
      <vt:lpstr>'April-2019 (2)'!Print_Titles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kerba kamble</dc:creator>
  <cp:lastModifiedBy>Sanyal, Amartya</cp:lastModifiedBy>
  <cp:lastPrinted>2019-05-31T09:36:50Z</cp:lastPrinted>
  <dcterms:created xsi:type="dcterms:W3CDTF">2019-05-31T06:03:12Z</dcterms:created>
  <dcterms:modified xsi:type="dcterms:W3CDTF">2021-06-06T19:10:52Z</dcterms:modified>
</cp:coreProperties>
</file>